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Inputs" sheetId="2" state="visible" r:id="rId4"/>
    <sheet name="Lag Table" sheetId="3" state="visible" r:id="rId5"/>
    <sheet name="Daily Data" sheetId="4" state="visible" r:id="rId6"/>
    <sheet name="Trend (Weekly)" sheetId="5" state="visible" r:id="rId7"/>
    <sheet name="Engine" sheetId="6" state="visible" r:id="rId8"/>
    <sheet name="Decis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<sst xmlns="http://schemas.openxmlformats.org/spreadsheetml/2006/main" count="176" uniqueCount="171">
  <si>
    <t xml:space="preserve">Paid Search Campaign Control System</t>
  </si>
  <si>
    <t xml:space="preserve">How this workbook is used (daily, ~2 minutes):</t>
  </si>
  <si>
    <t xml:space="preserve">1. Open the 'Daily Data' tab. Paste today's export as a new row at the bottom (Date, Spend, Revenue-to-Date, Orders).</t>
  </si>
  <si>
    <t xml:space="preserve">2. Open 'Inputs' and update: Today's Date, Campaign Status, Current Platform Target ROAS, Current Daily Budget, and Last Change Date/Type if you changed anything yesterday.</t>
  </si>
  <si>
    <t xml:space="preserve">3. Open 'Decision'. Look at the chart (raw vs. lag-adjusted ROAS vs. target/breakeven), then read ACTION / VALUE / REASON / REVIEW CADENCE / WAIT PERIOD.</t>
  </si>
  <si>
    <t xml:space="preserve">4. Make the change described in VALUE (if any). Then update the 'Last Change Date' and 'Last Change Type' fields on Inputs so the wait-period logic knows a change was made.</t>
  </si>
  <si>
    <t xml:space="preserve">5. Come back on the date/condition given in REVIEW CADENCE. Repeat.</t>
  </si>
  <si>
    <t xml:space="preserve">What the system is doing under the hood:</t>
  </si>
  <si>
    <t xml:space="preserve">- Recently-spent money hasn't finished converting yet (see the 'Lag Table' tab). The system grosses up each day's revenue by how much of its revenue is typically observed by its age, then compares that AGE-ADJUSTED ROAS to the 220% required target and the ~200% breakeven ROAS - never raw, same-day reported ROAS.</t>
  </si>
  <si>
    <t xml:space="preserve">- It only acts on a rolling 14-day (or 30-day fallback) window with at least 30 matured orders, so single noisy days can't trigger a change. A 3-day fast window exists purely as a safety net to catch a real, acute breakeven breach sooner.</t>
  </si>
  <si>
    <t xml:space="preserve">- After any Target ROAS or Budget change, it holds (no new change) until at least 7 days AND 30 new orders have accumulated, so the bidding algorithm has time to relearn.</t>
  </si>
  <si>
    <t xml:space="preserve">- Every output cell is a formula, not a hardcoded value. Edit any yellow cell on 'Inputs' or add rows to 'Daily Data' and every downstream number recalculates.</t>
  </si>
  <si>
    <t xml:space="preserve">Tabs in this workbook:</t>
  </si>
  <si>
    <t xml:space="preserve">Inputs        - the ~10 things you touch during a normal review, plus system constants you set once and rarely revisit.</t>
  </si>
  <si>
    <t xml:space="preserve">Lag Table     - the conversion-lag curve provided in the case, and the breakeven ROAS it implies at each spend age.</t>
  </si>
  <si>
    <t xml:space="preserve">Daily Data    - paste-in area for daily performance. Age / %Observed / Projected Mature Revenue are computed automatically.</t>
  </si>
  <si>
    <t xml:space="preserve">Trend (Weekly)- optional older, weekly-granularity history for chart context only (not used in any decision formula, since it is already fully matured).</t>
  </si>
  <si>
    <t xml:space="preserve">Engine        - all the window math and gating logic. You shouldn't need to edit this, but every cell is a visible formula so the logic can be audited and stress-tested.</t>
  </si>
  <si>
    <t xml:space="preserve">Decision      - the one page your team actually reads each day.</t>
  </si>
  <si>
    <t xml:space="preserve">A companion 2-page PDF ('Campaign Control System - Decision Framework') explains the same logic in plain language for anyone who wants the 'why' without opening the spreadsheet.</t>
  </si>
  <si>
    <t xml:space="preserve">Inputs — Control Panel</t>
  </si>
  <si>
    <t xml:space="preserve">Campaign State  (update every review)</t>
  </si>
  <si>
    <t xml:space="preserve">Today's Date</t>
  </si>
  <si>
    <t xml:space="preserve">The date you are running this review.</t>
  </si>
  <si>
    <t xml:space="preserve">Campaign Status</t>
  </si>
  <si>
    <t xml:space="preserve">Active</t>
  </si>
  <si>
    <t xml:space="preserve">Active or Paused. Dropdown restricted below.</t>
  </si>
  <si>
    <t xml:space="preserve">Current Platform Target ROAS (live setting)</t>
  </si>
  <si>
    <t xml:space="preserve">What is literally set in Google Ads right now. The system moves this.</t>
  </si>
  <si>
    <t xml:space="preserve">Current Daily Budget ($)</t>
  </si>
  <si>
    <t xml:space="preserve">Set materially above normal spend (~$5,000/day) per the case background, so it should rarely bind.</t>
  </si>
  <si>
    <t xml:space="preserve">Last Change Date</t>
  </si>
  <si>
    <t xml:space="preserve">Date of the most recent Target ROAS / Budget / Pause / Re-enable / Seasonality action.</t>
  </si>
  <si>
    <t xml:space="preserve">Last Change Type</t>
  </si>
  <si>
    <t xml:space="preserve">None</t>
  </si>
  <si>
    <t xml:space="preserve">Drives the wait-period gate. Dropdown restricted below.</t>
  </si>
  <si>
    <t xml:space="preserve">Seasonality Override  (optional — fill in only when a known event applies)</t>
  </si>
  <si>
    <t xml:space="preserve">Known Seasonality Event Flagged?</t>
  </si>
  <si>
    <t xml:space="preserve">N</t>
  </si>
  <si>
    <t xml:space="preserve">Y or N. E.g. Black Friday, a announced promo, a known slow week.</t>
  </si>
  <si>
    <t xml:space="preserve">Direction</t>
  </si>
  <si>
    <t xml:space="preserve">Up</t>
  </si>
  <si>
    <t xml:space="preserve">'Up' = expect higher demand (loosen target). 'Down' = expect lower demand (tighten target).</t>
  </si>
  <si>
    <t xml:space="preserve">Season Start Date</t>
  </si>
  <si>
    <t xml:space="preserve">Season Duration (days)</t>
  </si>
  <si>
    <t xml:space="preserve">Adjustment auto-reverts the day the window ends.</t>
  </si>
  <si>
    <t xml:space="preserve">Season Adjustment Size (points)</t>
  </si>
  <si>
    <t xml:space="preserve">Default step if you have no better historical estimate.</t>
  </si>
  <si>
    <t xml:space="preserve">Pre-Season Baseline Target ROAS</t>
  </si>
  <si>
    <t xml:space="preserve">Record the live target the moment you START the season override, so it can revert cleanly.</t>
  </si>
  <si>
    <t xml:space="preserve">System Constants  (set once — revisit only if business economics change)</t>
  </si>
  <si>
    <t xml:space="preserve">Required (Business) Target ROAS — mature</t>
  </si>
  <si>
    <t xml:space="preserve">The economics bar. Fixed unless the business changes required profitability.</t>
  </si>
  <si>
    <t xml:space="preserve">Mature Breakeven ROAS</t>
  </si>
  <si>
    <t xml:space="preserve">Source: case study lag table, 'Mature' row.</t>
  </si>
  <si>
    <t xml:space="preserve">Minimum Allowable Target ROAS (floor)</t>
  </si>
  <si>
    <t xml:space="preserve">Never loosen below breakeven + a small cushion.</t>
  </si>
  <si>
    <t xml:space="preserve">Maximum Allowable Target ROAS (ceiling)</t>
  </si>
  <si>
    <t xml:space="preserve">Sanity ceiling on repeated tightening.</t>
  </si>
  <si>
    <t xml:space="preserve">Target ROAS Step Size per intervention (points)</t>
  </si>
  <si>
    <t xml:space="preserve">Budget Step Size per intervention (%)</t>
  </si>
  <si>
    <t xml:space="preserve">Minimum Matured Orders for Confidence</t>
  </si>
  <si>
    <t xml:space="preserve">Below this, extend the window instead of acting.</t>
  </si>
  <si>
    <t xml:space="preserve">Minimum Orders for Fast-Window Safety Check</t>
  </si>
  <si>
    <t xml:space="preserve">Below this, the 3-day window can't even be trusted for a safety pause.</t>
  </si>
  <si>
    <t xml:space="preserve">Fast-Window Severe Multiple (x Breakeven)</t>
  </si>
  <si>
    <t xml:space="preserve">Fast window triggers a safety pause below this fraction of breakeven.</t>
  </si>
  <si>
    <t xml:space="preserve">Wait Period — Days</t>
  </si>
  <si>
    <t xml:space="preserve">Wait Period — Orders</t>
  </si>
  <si>
    <t xml:space="preserve">Pause Minimum Days Before Re-enable</t>
  </si>
  <si>
    <t xml:space="preserve">Budget Utilization Threshold (cap signal)</t>
  </si>
  <si>
    <t xml:space="preserve">A day counts as 'budget-capped' if spend &gt;= this fraction of budget.</t>
  </si>
  <si>
    <t xml:space="preserve">Days at Cap Needed (of last 7) to call it Budget-Capped</t>
  </si>
  <si>
    <t xml:space="preserve">Normal Band — points below Required Target</t>
  </si>
  <si>
    <t xml:space="preserve">Normal Band — points above Required Target</t>
  </si>
  <si>
    <t xml:space="preserve">Wider on the upside: the objective is to maximize sustainable spend, so we tolerate more upside before calling it an 'opportunity'.</t>
  </si>
  <si>
    <t xml:space="preserve">Primary Window Length (days)</t>
  </si>
  <si>
    <t xml:space="preserve">Fallback Window Length (days)</t>
  </si>
  <si>
    <t xml:space="preserve">Fast Window Length (days)</t>
  </si>
  <si>
    <t xml:space="preserve">Lag Table — Conversion Maturity Curve</t>
  </si>
  <si>
    <t xml:space="preserve">Age Key</t>
  </si>
  <si>
    <t xml:space="preserve">Age Label</t>
  </si>
  <si>
    <t xml:space="preserve">% Revenue Observed</t>
  </si>
  <si>
    <t xml:space="preserve">Breakeven ROAS (Mature-Adjusted)</t>
  </si>
  <si>
    <t xml:space="preserve">Notes</t>
  </si>
  <si>
    <t xml:space="preserve">D0</t>
  </si>
  <si>
    <t xml:space="preserve">Source: case study lag table. % Revenue Observed is the share of a spend day's eventual (mature) revenue that has posted by that age.</t>
  </si>
  <si>
    <t xml:space="preserve">D1</t>
  </si>
  <si>
    <t xml:space="preserve">Breakeven ROAS = % Observed x Mature Breakeven ROAS (Inputs!B21). This is the reported ROAS a break-even day would show at that age.</t>
  </si>
  <si>
    <t xml:space="preserve">D2</t>
  </si>
  <si>
    <t xml:space="preserve">D3</t>
  </si>
  <si>
    <t xml:space="preserve">D4</t>
  </si>
  <si>
    <t xml:space="preserve">D5</t>
  </si>
  <si>
    <t xml:space="preserve">D6</t>
  </si>
  <si>
    <t xml:space="preserve">D7</t>
  </si>
  <si>
    <t xml:space="preserve">8+ (Mature)</t>
  </si>
  <si>
    <t xml:space="preserve">Daily Data — paste today's export as a new row at the bottom (oldest -&gt; newest)</t>
  </si>
  <si>
    <t xml:space="preserve">Date</t>
  </si>
  <si>
    <t xml:space="preserve">Spend ($)</t>
  </si>
  <si>
    <t xml:space="preserve">Revenue To Date ($)</t>
  </si>
  <si>
    <t xml:space="preserve">Orders</t>
  </si>
  <si>
    <t xml:space="preserve">Age (Days)</t>
  </si>
  <si>
    <t xml:space="preserve">% Revenue
Observed</t>
  </si>
  <si>
    <t xml:space="preserve">Projected Mature
Revenue ($)</t>
  </si>
  <si>
    <t xml:space="preserve">Reported ROAS
(raw, day)</t>
  </si>
  <si>
    <t xml:space="preserve">Age-Adjusted ROAS
(day)</t>
  </si>
  <si>
    <t xml:space="preserve">Note: formulas are pre-filled for 100 rows (~3 months of daily capacity). If you exceed row 102, copy the formulas in columns E:I down further.</t>
  </si>
  <si>
    <t xml:space="preserve">Trend (Weekly) — older history for chart context only (fully matured; not used in decision formulas)</t>
  </si>
  <si>
    <t xml:space="preserve">Week Starting</t>
  </si>
  <si>
    <t xml:space="preserve">Revenue ($)</t>
  </si>
  <si>
    <t xml:space="preserve">ROAS</t>
  </si>
  <si>
    <t xml:space="preserve">Engine — window math and gating logic (formulas only; audit here, edit nothing)</t>
  </si>
  <si>
    <t xml:space="preserve">Window Aggregates</t>
  </si>
  <si>
    <t xml:space="preserve">Fast Window Spend (sum)</t>
  </si>
  <si>
    <t xml:space="preserve">Fast Window Projected Revenue (sum)</t>
  </si>
  <si>
    <t xml:space="preserve">Fast Window Orders (sum)</t>
  </si>
  <si>
    <t xml:space="preserve">Fast Window Adjusted ROAS</t>
  </si>
  <si>
    <t xml:space="preserve">Sum(Projected Mature Revenue) / Sum(Spend), age &lt;= Inputs!$B$38-1</t>
  </si>
  <si>
    <t xml:space="preserve">Primary Window Spend (sum)</t>
  </si>
  <si>
    <t xml:space="preserve">Primary Window Projected Revenue (sum)</t>
  </si>
  <si>
    <t xml:space="preserve">Primary Window Orders (sum)</t>
  </si>
  <si>
    <t xml:space="preserve">Primary Window Adjusted ROAS</t>
  </si>
  <si>
    <t xml:space="preserve">Fallback Window Spend (sum)</t>
  </si>
  <si>
    <t xml:space="preserve">Fallback Window Projected Revenue (sum)</t>
  </si>
  <si>
    <t xml:space="preserve">Fallback Window Orders (sum)</t>
  </si>
  <si>
    <t xml:space="preserve">Fallback Window Adjusted ROAS</t>
  </si>
  <si>
    <t xml:space="preserve">Window Used</t>
  </si>
  <si>
    <t xml:space="preserve">Primary window used unless it lacks confidence, then fallback, else flagged insufficient.</t>
  </si>
  <si>
    <t xml:space="preserve">Adjusted ROAS Used</t>
  </si>
  <si>
    <t xml:space="preserve">Orders Used</t>
  </si>
  <si>
    <t xml:space="preserve">Gating: Wait Period / Pause / Safety</t>
  </si>
  <si>
    <t xml:space="preserve">Days Since Last Change</t>
  </si>
  <si>
    <t xml:space="preserve">Orders Since Last Change</t>
  </si>
  <si>
    <t xml:space="preserve">Wait Period Satisfied? (for ROAS/Budget changes)</t>
  </si>
  <si>
    <t xml:space="preserve">TRUE automatically if the last change wasn't a Target ROAS/Budget change.</t>
  </si>
  <si>
    <t xml:space="preserve">Campaign Paused?</t>
  </si>
  <si>
    <t xml:space="preserve">Days Paused</t>
  </si>
  <si>
    <t xml:space="preserve">Pause Minimum Elapsed?</t>
  </si>
  <si>
    <t xml:space="preserve">Fast Window Severe? (safety trigger)</t>
  </si>
  <si>
    <t xml:space="preserve">Safety Pause Trigger</t>
  </si>
  <si>
    <t xml:space="preserve">Seasonality</t>
  </si>
  <si>
    <t xml:space="preserve">Season End Date (computed)</t>
  </si>
  <si>
    <t xml:space="preserve">Seasonality Active Today?</t>
  </si>
  <si>
    <t xml:space="preserve">Season Starts Today?</t>
  </si>
  <si>
    <t xml:space="preserve">Season Ends Today?</t>
  </si>
  <si>
    <t xml:space="preserve">Budget Cap Check  (fixed 7-day lookback, age &lt;= 6)</t>
  </si>
  <si>
    <t xml:space="preserve">Days at Budget Cap (last 7)</t>
  </si>
  <si>
    <t xml:space="preserve">Budget Capped?</t>
  </si>
  <si>
    <t xml:space="preserve">Decision Bands (evaluated only when data is sufficient)</t>
  </si>
  <si>
    <t xml:space="preserve">Normal Band Lower</t>
  </si>
  <si>
    <t xml:space="preserve">Normal Band Upper</t>
  </si>
  <si>
    <t xml:space="preserve">Master Decision Case (single source of truth for the Decision tab)</t>
  </si>
  <si>
    <t xml:space="preserve">Decision Case</t>
  </si>
  <si>
    <t xml:space="preserve">Evaluated top-to-bottom, first TRUE wins. All Decision-tab outputs key off this one cell.</t>
  </si>
  <si>
    <t xml:space="preserve">Decision — run this every review</t>
  </si>
  <si>
    <t xml:space="preserve">Diagnostics</t>
  </si>
  <si>
    <t xml:space="preserve">Adjusted ROAS (window used)</t>
  </si>
  <si>
    <t xml:space="preserve">Fast Window (3-day) Adjusted ROAS</t>
  </si>
  <si>
    <t xml:space="preserve">Orders in Window Used</t>
  </si>
  <si>
    <t xml:space="preserve">Required Target ROAS / Breakeven</t>
  </si>
  <si>
    <t xml:space="preserve">Normal Band</t>
  </si>
  <si>
    <t xml:space="preserve">Safety Check Triggered?</t>
  </si>
  <si>
    <t xml:space="preserve">Wait Period Satisfied?</t>
  </si>
  <si>
    <t xml:space="preserve">Budget Near Cap (last 7d)?</t>
  </si>
  <si>
    <t xml:space="preserve">Required System Output</t>
  </si>
  <si>
    <t xml:space="preserve">ACTION</t>
  </si>
  <si>
    <t xml:space="preserve">VALUE</t>
  </si>
  <si>
    <t xml:space="preserve">REASON</t>
  </si>
  <si>
    <t xml:space="preserve">REVIEW CADENCE</t>
  </si>
  <si>
    <t xml:space="preserve">WAIT PERIOD</t>
  </si>
  <si>
    <t xml:space="preserve">Chart — look here first</t>
  </si>
</sst>
</file>

<file path=xl/styles.xml><?xml version="1.0" encoding="utf-8"?>
<styleSheet xmlns="http://schemas.openxmlformats.org/spreadsheetml/2006/main">
  <numFmts count="7">
    <numFmt numFmtId="164" formatCode="General"/>
    <numFmt numFmtId="165" formatCode="yyyy\-mm\-dd"/>
    <numFmt numFmtId="166" formatCode="0%"/>
    <numFmt numFmtId="167" formatCode="\$#,##0"/>
    <numFmt numFmtId="168" formatCode="0.0%"/>
    <numFmt numFmtId="169" formatCode="#,##0"/>
    <numFmt numFmtId="170"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1F4E78"/>
      <name val="Arial"/>
      <family val="0"/>
      <charset val="1"/>
    </font>
    <font>
      <sz val="10"/>
      <color rgb="FF000000"/>
      <name val="Arial"/>
      <family val="0"/>
      <charset val="1"/>
    </font>
    <font>
      <b val="true"/>
      <sz val="11"/>
      <color rgb="FF1F4E78"/>
      <name val="Arial"/>
      <family val="0"/>
      <charset val="1"/>
    </font>
    <font>
      <sz val="10"/>
      <name val="Arial"/>
      <family val="0"/>
      <charset val="1"/>
    </font>
    <font>
      <sz val="10"/>
      <color rgb="FF0000FF"/>
      <name val="Arial"/>
      <family val="0"/>
      <charset val="1"/>
    </font>
    <font>
      <i val="true"/>
      <sz val="9"/>
      <color rgb="FF808080"/>
      <name val="Arial"/>
      <family val="0"/>
      <charset val="1"/>
    </font>
    <font>
      <b val="true"/>
      <sz val="10"/>
      <color rgb="FFFFFFFF"/>
      <name val="Arial"/>
      <family val="0"/>
      <charset val="1"/>
    </font>
    <font>
      <b val="true"/>
      <sz val="13"/>
      <color rgb="FF1F4E78"/>
      <name val="Arial"/>
      <family val="0"/>
      <charset val="1"/>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1F4E78"/>
        <bgColor rgb="FF003366"/>
      </patternFill>
    </fill>
    <fill>
      <patternFill patternType="solid">
        <fgColor rgb="FFD9E1F2"/>
        <bgColor rgb="FFD9D9D9"/>
      </patternFill>
    </fill>
    <fill>
      <patternFill patternType="solid">
        <fgColor rgb="FFFFFFCC"/>
        <bgColor rgb="FFFFFFFF"/>
      </patternFill>
    </fill>
    <fill>
      <patternFill patternType="solid">
        <fgColor rgb="FF4472C4"/>
        <bgColor rgb="FF666699"/>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4" fontId="11" fillId="5"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4" fontId="11" fillId="5" borderId="0" xfId="0" applyFont="true" applyBorder="false" applyAlignment="true" applyProtection="false">
      <alignment horizontal="center" vertical="center" textRotation="0" wrapText="true" indent="0" shrinkToFit="false"/>
      <protection locked="true" hidden="false"/>
    </xf>
    <xf numFmtId="169" fontId="9" fillId="4"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general" vertical="center" textRotation="0" wrapText="true" indent="0" shrinkToFit="false"/>
      <protection locked="true" hidden="false"/>
    </xf>
    <xf numFmtId="164" fontId="6" fillId="6" borderId="1" xfId="0" applyFont="true" applyBorder="true" applyAlignment="true" applyProtection="false">
      <alignment horizontal="general" vertical="center" textRotation="0" wrapText="true" indent="0" shrinkToFit="false"/>
      <protection locked="true" hidden="false"/>
    </xf>
    <xf numFmtId="164" fontId="7" fillId="6"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472C4"/>
      <rgbColor rgb="FF33CCCC"/>
      <rgbColor rgb="FF99CC00"/>
      <rgbColor rgb="FFFFCC00"/>
      <rgbColor rgb="FFFF9900"/>
      <rgbColor rgb="FFFF6600"/>
      <rgbColor rgb="FF666699"/>
      <rgbColor rgb="FF878787"/>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Reported vs. Age-Adjusted ROAS (Daily Data)</a:t>
            </a:r>
          </a:p>
        </c:rich>
      </c:tx>
      <c:overlay val="0"/>
      <c:spPr>
        <a:noFill/>
        <a:ln w="0">
          <a:noFill/>
        </a:ln>
      </c:spPr>
    </c:title>
    <c:autoTitleDeleted val="0"/>
    <c:plotArea>
      <c:lineChart>
        <c:grouping val="standard"/>
        <c:varyColors val="0"/>
        <c:ser>
          <c:idx val="0"/>
          <c:order val="0"/>
          <c:tx>
            <c:strRef>
              <c:f>'Daily Data'!H2</c:f>
              <c:strCache>
                <c:ptCount val="1"/>
                <c:pt idx="0">
                  <c:v>Reported ROAS
(raw, day)</c:v>
                </c:pt>
              </c:strCache>
            </c:strRef>
          </c:tx>
          <c:spPr>
            <a:solidFill>
              <a:srgbClr val="bfbfbf"/>
            </a:solidFill>
            <a:ln w="15120">
              <a:solidFill>
                <a:srgbClr val="bfbfb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 Data'!$A$3:$A$23</c:f>
              <c:strCache>
                <c:ptCount val="21"/>
                <c:pt idx="0">
                  <c:v>2026-07-19</c:v>
                </c:pt>
                <c:pt idx="1">
                  <c:v>2026-07-20</c:v>
                </c:pt>
                <c:pt idx="2">
                  <c:v>2026-07-21</c:v>
                </c:pt>
                <c:pt idx="3">
                  <c:v>2026-07-22</c:v>
                </c:pt>
                <c:pt idx="4">
                  <c:v>2026-07-23</c:v>
                </c:pt>
                <c:pt idx="5">
                  <c:v>2026-07-24</c:v>
                </c:pt>
                <c:pt idx="6">
                  <c:v>2026-07-25</c:v>
                </c:pt>
                <c:pt idx="7">
                  <c:v>2026-07-26</c:v>
                </c:pt>
                <c:pt idx="8">
                  <c:v>2026-07-27</c:v>
                </c:pt>
                <c:pt idx="9">
                  <c:v>2026-07-28</c:v>
                </c:pt>
                <c:pt idx="10">
                  <c:v>2026-07-29</c:v>
                </c:pt>
                <c:pt idx="11">
                  <c:v>2026-07-30</c:v>
                </c:pt>
                <c:pt idx="12">
                  <c:v>2026-07-31</c:v>
                </c:pt>
                <c:pt idx="13">
                  <c:v>2026-08-01</c:v>
                </c:pt>
                <c:pt idx="14">
                  <c:v>2026-08-02</c:v>
                </c:pt>
                <c:pt idx="15">
                  <c:v>2026-08-03</c:v>
                </c:pt>
                <c:pt idx="16">
                  <c:v>2026-08-04</c:v>
                </c:pt>
                <c:pt idx="17">
                  <c:v>2026-08-05</c:v>
                </c:pt>
                <c:pt idx="18">
                  <c:v>2026-08-06</c:v>
                </c:pt>
                <c:pt idx="19">
                  <c:v>2026-08-07</c:v>
                </c:pt>
                <c:pt idx="20">
                  <c:v>2026-08-08</c:v>
                </c:pt>
              </c:strCache>
            </c:strRef>
          </c:cat>
          <c:val>
            <c:numRef>
              <c:f>'Daily Data'!$H$3:$H$23</c:f>
              <c:numCache>
                <c:formatCode>0%</c:formatCode>
                <c:ptCount val="21"/>
                <c:pt idx="0">
                  <c:v>2.24713891834571</c:v>
                </c:pt>
                <c:pt idx="1">
                  <c:v>2.21790937378452</c:v>
                </c:pt>
                <c:pt idx="2">
                  <c:v>2.31752735690236</c:v>
                </c:pt>
                <c:pt idx="3">
                  <c:v>2.15665286690126</c:v>
                </c:pt>
                <c:pt idx="4">
                  <c:v>2.17468976966176</c:v>
                </c:pt>
                <c:pt idx="5">
                  <c:v>2.27108650662252</c:v>
                </c:pt>
                <c:pt idx="6">
                  <c:v>2.35430697278912</c:v>
                </c:pt>
                <c:pt idx="7">
                  <c:v>2.24229812398042</c:v>
                </c:pt>
                <c:pt idx="8">
                  <c:v>2.28422888616891</c:v>
                </c:pt>
                <c:pt idx="9">
                  <c:v>2.18284370199693</c:v>
                </c:pt>
                <c:pt idx="10">
                  <c:v>2.31644998053717</c:v>
                </c:pt>
                <c:pt idx="11">
                  <c:v>2.35194438806576</c:v>
                </c:pt>
                <c:pt idx="12">
                  <c:v>2.36614080063104</c:v>
                </c:pt>
                <c:pt idx="13">
                  <c:v>1.56465157134492</c:v>
                </c:pt>
                <c:pt idx="14">
                  <c:v>1.48317398440706</c:v>
                </c:pt>
                <c:pt idx="15">
                  <c:v>1.47159420289855</c:v>
                </c:pt>
                <c:pt idx="16">
                  <c:v>1.31261435251067</c:v>
                </c:pt>
                <c:pt idx="17">
                  <c:v>1.27047942386831</c:v>
                </c:pt>
                <c:pt idx="18">
                  <c:v>1.20208687068115</c:v>
                </c:pt>
                <c:pt idx="19">
                  <c:v>1.15102125885786</c:v>
                </c:pt>
                <c:pt idx="20">
                  <c:v>1.01127065302911</c:v>
                </c:pt>
              </c:numCache>
            </c:numRef>
          </c:val>
          <c:smooth val="0"/>
        </c:ser>
        <c:ser>
          <c:idx val="1"/>
          <c:order val="1"/>
          <c:tx>
            <c:strRef>
              <c:f>'Daily Data'!I2</c:f>
              <c:strCache>
                <c:ptCount val="1"/>
                <c:pt idx="0">
                  <c:v>Age-Adjusted ROAS
(day)</c:v>
                </c:pt>
              </c:strCache>
            </c:strRef>
          </c:tx>
          <c:spPr>
            <a:solidFill>
              <a:srgbClr val="1f4e78"/>
            </a:solidFill>
            <a:ln w="24840">
              <a:solidFill>
                <a:srgbClr val="1f4e7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 Data'!$A$3:$A$23</c:f>
              <c:strCache>
                <c:ptCount val="21"/>
                <c:pt idx="0">
                  <c:v>2026-07-19</c:v>
                </c:pt>
                <c:pt idx="1">
                  <c:v>2026-07-20</c:v>
                </c:pt>
                <c:pt idx="2">
                  <c:v>2026-07-21</c:v>
                </c:pt>
                <c:pt idx="3">
                  <c:v>2026-07-22</c:v>
                </c:pt>
                <c:pt idx="4">
                  <c:v>2026-07-23</c:v>
                </c:pt>
                <c:pt idx="5">
                  <c:v>2026-07-24</c:v>
                </c:pt>
                <c:pt idx="6">
                  <c:v>2026-07-25</c:v>
                </c:pt>
                <c:pt idx="7">
                  <c:v>2026-07-26</c:v>
                </c:pt>
                <c:pt idx="8">
                  <c:v>2026-07-27</c:v>
                </c:pt>
                <c:pt idx="9">
                  <c:v>2026-07-28</c:v>
                </c:pt>
                <c:pt idx="10">
                  <c:v>2026-07-29</c:v>
                </c:pt>
                <c:pt idx="11">
                  <c:v>2026-07-30</c:v>
                </c:pt>
                <c:pt idx="12">
                  <c:v>2026-07-31</c:v>
                </c:pt>
                <c:pt idx="13">
                  <c:v>2026-08-01</c:v>
                </c:pt>
                <c:pt idx="14">
                  <c:v>2026-08-02</c:v>
                </c:pt>
                <c:pt idx="15">
                  <c:v>2026-08-03</c:v>
                </c:pt>
                <c:pt idx="16">
                  <c:v>2026-08-04</c:v>
                </c:pt>
                <c:pt idx="17">
                  <c:v>2026-08-05</c:v>
                </c:pt>
                <c:pt idx="18">
                  <c:v>2026-08-06</c:v>
                </c:pt>
                <c:pt idx="19">
                  <c:v>2026-08-07</c:v>
                </c:pt>
                <c:pt idx="20">
                  <c:v>2026-08-08</c:v>
                </c:pt>
              </c:strCache>
            </c:strRef>
          </c:cat>
          <c:val>
            <c:numRef>
              <c:f>'Daily Data'!$I$3:$I$23</c:f>
              <c:numCache>
                <c:formatCode>0%</c:formatCode>
                <c:ptCount val="21"/>
                <c:pt idx="0">
                  <c:v>2.24713891834571</c:v>
                </c:pt>
                <c:pt idx="1">
                  <c:v>2.21790937378452</c:v>
                </c:pt>
                <c:pt idx="2">
                  <c:v>2.31752735690236</c:v>
                </c:pt>
                <c:pt idx="3">
                  <c:v>2.15665286690126</c:v>
                </c:pt>
                <c:pt idx="4">
                  <c:v>2.17468976966176</c:v>
                </c:pt>
                <c:pt idx="5">
                  <c:v>2.27108650662252</c:v>
                </c:pt>
                <c:pt idx="6">
                  <c:v>2.35430697278912</c:v>
                </c:pt>
                <c:pt idx="7">
                  <c:v>2.24229812398042</c:v>
                </c:pt>
                <c:pt idx="8">
                  <c:v>2.28422888616891</c:v>
                </c:pt>
                <c:pt idx="9">
                  <c:v>2.18284370199693</c:v>
                </c:pt>
                <c:pt idx="10">
                  <c:v>2.31644998053717</c:v>
                </c:pt>
                <c:pt idx="11">
                  <c:v>2.35194438806576</c:v>
                </c:pt>
                <c:pt idx="12">
                  <c:v>2.36614080063104</c:v>
                </c:pt>
                <c:pt idx="13">
                  <c:v>2.20373460752805</c:v>
                </c:pt>
                <c:pt idx="14">
                  <c:v>2.14022219972158</c:v>
                </c:pt>
                <c:pt idx="15">
                  <c:v>2.16729632238373</c:v>
                </c:pt>
                <c:pt idx="16">
                  <c:v>1.97981048644144</c:v>
                </c:pt>
                <c:pt idx="17">
                  <c:v>1.98202718232186</c:v>
                </c:pt>
                <c:pt idx="18">
                  <c:v>1.95779620632108</c:v>
                </c:pt>
                <c:pt idx="19">
                  <c:v>1.99483753701535</c:v>
                </c:pt>
                <c:pt idx="20">
                  <c:v>2.05542815656323</c:v>
                </c:pt>
              </c:numCache>
            </c:numRef>
          </c:val>
          <c:smooth val="0"/>
        </c:ser>
        <c:hiLowLines>
          <c:spPr>
            <a:ln w="0">
              <a:noFill/>
            </a:ln>
          </c:spPr>
        </c:hiLowLines>
        <c:marker val="0"/>
        <c:axId val="73230395"/>
        <c:axId val="60974752"/>
      </c:lineChart>
      <c:catAx>
        <c:axId val="7323039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Date</a:t>
                </a:r>
              </a:p>
            </c:rich>
          </c:tx>
          <c:overlay val="0"/>
          <c:spPr>
            <a:noFill/>
            <a:ln w="0">
              <a:noFill/>
            </a:ln>
          </c:spPr>
        </c:title>
        <c:numFmt formatCode="yyyy\-mm\-dd"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974752"/>
        <c:crosses val="autoZero"/>
        <c:auto val="1"/>
        <c:lblAlgn val="ctr"/>
        <c:lblOffset val="100"/>
        <c:noMultiLvlLbl val="0"/>
      </c:catAx>
      <c:valAx>
        <c:axId val="6097475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ROAS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23039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23</xdr:row>
      <xdr:rowOff>185400</xdr:rowOff>
    </xdr:from>
    <xdr:to>
      <xdr:col>2</xdr:col>
      <xdr:colOff>807480</xdr:colOff>
      <xdr:row>40</xdr:row>
      <xdr:rowOff>177120</xdr:rowOff>
    </xdr:to>
    <xdr:graphicFrame>
      <xdr:nvGraphicFramePr>
        <xdr:cNvPr id="0" name="Chart 1"/>
        <xdr:cNvGraphicFramePr/>
      </xdr:nvGraphicFramePr>
      <xdr:xfrm>
        <a:off x="0" y="512460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00"/>
    <col collapsed="false" customWidth="true" hidden="false" outlineLevel="0" max="7" min="3" style="0" width="2"/>
  </cols>
  <sheetData>
    <row r="1" customFormat="false" ht="21.75" hidden="false" customHeight="true" outlineLevel="0" collapsed="false">
      <c r="A1" s="1" t="s">
        <v>0</v>
      </c>
      <c r="B1" s="1"/>
    </row>
    <row r="3" customFormat="false" ht="18" hidden="false" customHeight="true" outlineLevel="0" collapsed="false">
      <c r="B3" s="2" t="s">
        <v>1</v>
      </c>
    </row>
    <row r="4" customFormat="false" ht="27.75" hidden="false" customHeight="true" outlineLevel="0" collapsed="false">
      <c r="B4" s="3" t="s">
        <v>2</v>
      </c>
    </row>
    <row r="5" customFormat="false" ht="27.75" hidden="false" customHeight="true" outlineLevel="0" collapsed="false">
      <c r="B5" s="3" t="s">
        <v>3</v>
      </c>
    </row>
    <row r="6" customFormat="false" ht="27.75" hidden="false" customHeight="true" outlineLevel="0" collapsed="false">
      <c r="B6" s="3" t="s">
        <v>4</v>
      </c>
    </row>
    <row r="7" customFormat="false" ht="27.75" hidden="false" customHeight="true" outlineLevel="0" collapsed="false">
      <c r="B7" s="3" t="s">
        <v>5</v>
      </c>
    </row>
    <row r="8" customFormat="false" ht="18" hidden="false" customHeight="true" outlineLevel="0" collapsed="false">
      <c r="B8" s="3" t="s">
        <v>6</v>
      </c>
    </row>
    <row r="9" customFormat="false" ht="7.5" hidden="false" customHeight="true" outlineLevel="0" collapsed="false">
      <c r="B9" s="3"/>
    </row>
    <row r="10" customFormat="false" ht="18" hidden="false" customHeight="true" outlineLevel="0" collapsed="false">
      <c r="B10" s="2" t="s">
        <v>7</v>
      </c>
    </row>
    <row r="11" customFormat="false" ht="27.75" hidden="false" customHeight="true" outlineLevel="0" collapsed="false">
      <c r="B11" s="3" t="s">
        <v>8</v>
      </c>
    </row>
    <row r="12" customFormat="false" ht="27.75" hidden="false" customHeight="true" outlineLevel="0" collapsed="false">
      <c r="B12" s="3" t="s">
        <v>9</v>
      </c>
    </row>
    <row r="13" customFormat="false" ht="27.75" hidden="false" customHeight="true" outlineLevel="0" collapsed="false">
      <c r="B13" s="3" t="s">
        <v>10</v>
      </c>
    </row>
    <row r="14" customFormat="false" ht="27.75" hidden="false" customHeight="true" outlineLevel="0" collapsed="false">
      <c r="B14" s="3" t="s">
        <v>11</v>
      </c>
    </row>
    <row r="15" customFormat="false" ht="7.5" hidden="false" customHeight="true" outlineLevel="0" collapsed="false">
      <c r="B15" s="3"/>
    </row>
    <row r="16" customFormat="false" ht="18" hidden="false" customHeight="true" outlineLevel="0" collapsed="false">
      <c r="B16" s="2" t="s">
        <v>12</v>
      </c>
    </row>
    <row r="17" customFormat="false" ht="27.75" hidden="false" customHeight="true" outlineLevel="0" collapsed="false">
      <c r="B17" s="3" t="s">
        <v>13</v>
      </c>
    </row>
    <row r="18" customFormat="false" ht="27.75" hidden="false" customHeight="true" outlineLevel="0" collapsed="false">
      <c r="B18" s="3" t="s">
        <v>14</v>
      </c>
    </row>
    <row r="19" customFormat="false" ht="27.75" hidden="false" customHeight="true" outlineLevel="0" collapsed="false">
      <c r="B19" s="3" t="s">
        <v>15</v>
      </c>
    </row>
    <row r="20" customFormat="false" ht="27.75" hidden="false" customHeight="true" outlineLevel="0" collapsed="false">
      <c r="B20" s="3" t="s">
        <v>16</v>
      </c>
    </row>
    <row r="21" customFormat="false" ht="27.75" hidden="false" customHeight="true" outlineLevel="0" collapsed="false">
      <c r="B21" s="3" t="s">
        <v>17</v>
      </c>
    </row>
    <row r="22" customFormat="false" ht="18" hidden="false" customHeight="true" outlineLevel="0" collapsed="false">
      <c r="B22" s="3" t="s">
        <v>18</v>
      </c>
    </row>
    <row r="23" customFormat="false" ht="7.5" hidden="false" customHeight="true" outlineLevel="0" collapsed="false">
      <c r="B23" s="3"/>
    </row>
    <row r="24" customFormat="false" ht="27.75" hidden="false" customHeight="true" outlineLevel="0" collapsed="false">
      <c r="B24" s="3" t="s">
        <v>19</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55"/>
  </cols>
  <sheetData>
    <row r="1" customFormat="false" ht="21.75" hidden="false" customHeight="true" outlineLevel="0" collapsed="false">
      <c r="A1" s="1" t="s">
        <v>20</v>
      </c>
      <c r="B1" s="1"/>
      <c r="C1" s="1"/>
    </row>
    <row r="3" customFormat="false" ht="15.75" hidden="false" customHeight="true" outlineLevel="0" collapsed="false">
      <c r="A3" s="4" t="s">
        <v>21</v>
      </c>
      <c r="B3" s="4"/>
      <c r="C3" s="4"/>
    </row>
    <row r="4" customFormat="false" ht="15" hidden="false" customHeight="false" outlineLevel="0" collapsed="false">
      <c r="A4" s="5" t="s">
        <v>22</v>
      </c>
      <c r="B4" s="6" t="n">
        <v>46242</v>
      </c>
      <c r="C4" s="7" t="s">
        <v>23</v>
      </c>
    </row>
    <row r="5" customFormat="false" ht="15" hidden="false" customHeight="false" outlineLevel="0" collapsed="false">
      <c r="A5" s="5" t="s">
        <v>24</v>
      </c>
      <c r="B5" s="8" t="s">
        <v>25</v>
      </c>
      <c r="C5" s="7" t="s">
        <v>26</v>
      </c>
    </row>
    <row r="6" customFormat="false" ht="15" hidden="false" customHeight="false" outlineLevel="0" collapsed="false">
      <c r="A6" s="5" t="s">
        <v>27</v>
      </c>
      <c r="B6" s="9" t="n">
        <v>2.2</v>
      </c>
      <c r="C6" s="7" t="s">
        <v>28</v>
      </c>
    </row>
    <row r="7" customFormat="false" ht="15" hidden="false" customHeight="false" outlineLevel="0" collapsed="false">
      <c r="A7" s="5" t="s">
        <v>29</v>
      </c>
      <c r="B7" s="10" t="n">
        <v>8000</v>
      </c>
      <c r="C7" s="7" t="s">
        <v>30</v>
      </c>
    </row>
    <row r="8" customFormat="false" ht="15" hidden="false" customHeight="false" outlineLevel="0" collapsed="false">
      <c r="A8" s="5" t="s">
        <v>31</v>
      </c>
      <c r="B8" s="6" t="n">
        <v>46223</v>
      </c>
      <c r="C8" s="7" t="s">
        <v>32</v>
      </c>
    </row>
    <row r="9" customFormat="false" ht="15" hidden="false" customHeight="false" outlineLevel="0" collapsed="false">
      <c r="A9" s="5" t="s">
        <v>33</v>
      </c>
      <c r="B9" s="8" t="s">
        <v>34</v>
      </c>
      <c r="C9" s="7" t="s">
        <v>35</v>
      </c>
    </row>
    <row r="11" customFormat="false" ht="15.75" hidden="false" customHeight="true" outlineLevel="0" collapsed="false">
      <c r="A11" s="4" t="s">
        <v>36</v>
      </c>
      <c r="B11" s="4"/>
      <c r="C11" s="4"/>
    </row>
    <row r="12" customFormat="false" ht="15" hidden="false" customHeight="false" outlineLevel="0" collapsed="false">
      <c r="A12" s="5" t="s">
        <v>37</v>
      </c>
      <c r="B12" s="8" t="s">
        <v>38</v>
      </c>
      <c r="C12" s="7" t="s">
        <v>39</v>
      </c>
    </row>
    <row r="13" customFormat="false" ht="15" hidden="false" customHeight="false" outlineLevel="0" collapsed="false">
      <c r="A13" s="5" t="s">
        <v>40</v>
      </c>
      <c r="B13" s="8" t="s">
        <v>41</v>
      </c>
      <c r="C13" s="7" t="s">
        <v>42</v>
      </c>
    </row>
    <row r="14" customFormat="false" ht="15" hidden="false" customHeight="false" outlineLevel="0" collapsed="false">
      <c r="A14" s="5" t="s">
        <v>43</v>
      </c>
      <c r="B14" s="6" t="n">
        <v>46376</v>
      </c>
    </row>
    <row r="15" customFormat="false" ht="15" hidden="false" customHeight="false" outlineLevel="0" collapsed="false">
      <c r="A15" s="5" t="s">
        <v>44</v>
      </c>
      <c r="B15" s="8" t="n">
        <v>10</v>
      </c>
      <c r="C15" s="7" t="s">
        <v>45</v>
      </c>
    </row>
    <row r="16" customFormat="false" ht="15" hidden="false" customHeight="false" outlineLevel="0" collapsed="false">
      <c r="A16" s="5" t="s">
        <v>46</v>
      </c>
      <c r="B16" s="9" t="n">
        <v>0.15</v>
      </c>
      <c r="C16" s="7" t="s">
        <v>47</v>
      </c>
    </row>
    <row r="17" customFormat="false" ht="15" hidden="false" customHeight="false" outlineLevel="0" collapsed="false">
      <c r="A17" s="5" t="s">
        <v>48</v>
      </c>
      <c r="B17" s="9" t="n">
        <v>2.2</v>
      </c>
      <c r="C17" s="7" t="s">
        <v>49</v>
      </c>
    </row>
    <row r="19" customFormat="false" ht="15.75" hidden="false" customHeight="true" outlineLevel="0" collapsed="false">
      <c r="A19" s="4" t="s">
        <v>50</v>
      </c>
      <c r="B19" s="4"/>
      <c r="C19" s="4"/>
    </row>
    <row r="20" customFormat="false" ht="15" hidden="false" customHeight="false" outlineLevel="0" collapsed="false">
      <c r="A20" s="5" t="s">
        <v>51</v>
      </c>
      <c r="B20" s="9" t="n">
        <v>2.2</v>
      </c>
      <c r="C20" s="7" t="s">
        <v>52</v>
      </c>
    </row>
    <row r="21" customFormat="false" ht="15" hidden="false" customHeight="false" outlineLevel="0" collapsed="false">
      <c r="A21" s="5" t="s">
        <v>53</v>
      </c>
      <c r="B21" s="11" t="n">
        <v>2.001</v>
      </c>
      <c r="C21" s="7" t="s">
        <v>54</v>
      </c>
    </row>
    <row r="22" customFormat="false" ht="15" hidden="false" customHeight="false" outlineLevel="0" collapsed="false">
      <c r="A22" s="5" t="s">
        <v>55</v>
      </c>
      <c r="B22" s="9" t="n">
        <v>2.05</v>
      </c>
      <c r="C22" s="7" t="s">
        <v>56</v>
      </c>
    </row>
    <row r="23" customFormat="false" ht="15" hidden="false" customHeight="false" outlineLevel="0" collapsed="false">
      <c r="A23" s="5" t="s">
        <v>57</v>
      </c>
      <c r="B23" s="9" t="n">
        <v>2.6</v>
      </c>
      <c r="C23" s="7" t="s">
        <v>58</v>
      </c>
    </row>
    <row r="24" customFormat="false" ht="15" hidden="false" customHeight="false" outlineLevel="0" collapsed="false">
      <c r="A24" s="5" t="s">
        <v>59</v>
      </c>
      <c r="B24" s="9" t="n">
        <v>0.1</v>
      </c>
    </row>
    <row r="25" customFormat="false" ht="15" hidden="false" customHeight="false" outlineLevel="0" collapsed="false">
      <c r="A25" s="5" t="s">
        <v>60</v>
      </c>
      <c r="B25" s="9" t="n">
        <v>0.25</v>
      </c>
    </row>
    <row r="26" customFormat="false" ht="15" hidden="false" customHeight="false" outlineLevel="0" collapsed="false">
      <c r="A26" s="5" t="s">
        <v>61</v>
      </c>
      <c r="B26" s="8" t="n">
        <v>30</v>
      </c>
      <c r="C26" s="7" t="s">
        <v>62</v>
      </c>
    </row>
    <row r="27" customFormat="false" ht="15" hidden="false" customHeight="false" outlineLevel="0" collapsed="false">
      <c r="A27" s="5" t="s">
        <v>63</v>
      </c>
      <c r="B27" s="8" t="n">
        <v>5</v>
      </c>
      <c r="C27" s="7" t="s">
        <v>64</v>
      </c>
    </row>
    <row r="28" customFormat="false" ht="15" hidden="false" customHeight="false" outlineLevel="0" collapsed="false">
      <c r="A28" s="5" t="s">
        <v>65</v>
      </c>
      <c r="B28" s="9" t="n">
        <v>0.9</v>
      </c>
      <c r="C28" s="7" t="s">
        <v>66</v>
      </c>
    </row>
    <row r="29" customFormat="false" ht="15" hidden="false" customHeight="false" outlineLevel="0" collapsed="false">
      <c r="A29" s="5" t="s">
        <v>67</v>
      </c>
      <c r="B29" s="8" t="n">
        <v>7</v>
      </c>
    </row>
    <row r="30" customFormat="false" ht="15" hidden="false" customHeight="false" outlineLevel="0" collapsed="false">
      <c r="A30" s="5" t="s">
        <v>68</v>
      </c>
      <c r="B30" s="8" t="n">
        <v>30</v>
      </c>
    </row>
    <row r="31" customFormat="false" ht="15" hidden="false" customHeight="false" outlineLevel="0" collapsed="false">
      <c r="A31" s="5" t="s">
        <v>69</v>
      </c>
      <c r="B31" s="8" t="n">
        <v>3</v>
      </c>
    </row>
    <row r="32" customFormat="false" ht="15" hidden="false" customHeight="false" outlineLevel="0" collapsed="false">
      <c r="A32" s="5" t="s">
        <v>70</v>
      </c>
      <c r="B32" s="9" t="n">
        <v>0.95</v>
      </c>
      <c r="C32" s="7" t="s">
        <v>71</v>
      </c>
    </row>
    <row r="33" customFormat="false" ht="15" hidden="false" customHeight="false" outlineLevel="0" collapsed="false">
      <c r="A33" s="5" t="s">
        <v>72</v>
      </c>
      <c r="B33" s="8" t="n">
        <v>3</v>
      </c>
    </row>
    <row r="34" customFormat="false" ht="15" hidden="false" customHeight="false" outlineLevel="0" collapsed="false">
      <c r="A34" s="5" t="s">
        <v>73</v>
      </c>
      <c r="B34" s="9" t="n">
        <v>0.1</v>
      </c>
    </row>
    <row r="35" customFormat="false" ht="15" hidden="false" customHeight="false" outlineLevel="0" collapsed="false">
      <c r="A35" s="5" t="s">
        <v>74</v>
      </c>
      <c r="B35" s="9" t="n">
        <v>0.15</v>
      </c>
      <c r="C35" s="7" t="s">
        <v>75</v>
      </c>
    </row>
    <row r="36" customFormat="false" ht="15" hidden="false" customHeight="false" outlineLevel="0" collapsed="false">
      <c r="A36" s="5" t="s">
        <v>76</v>
      </c>
      <c r="B36" s="8" t="n">
        <v>14</v>
      </c>
    </row>
    <row r="37" customFormat="false" ht="15" hidden="false" customHeight="false" outlineLevel="0" collapsed="false">
      <c r="A37" s="5" t="s">
        <v>77</v>
      </c>
      <c r="B37" s="8" t="n">
        <v>30</v>
      </c>
    </row>
    <row r="38" customFormat="false" ht="15" hidden="false" customHeight="false" outlineLevel="0" collapsed="false">
      <c r="A38" s="5" t="s">
        <v>78</v>
      </c>
      <c r="B38" s="8" t="n">
        <v>3</v>
      </c>
    </row>
  </sheetData>
  <mergeCells count="4">
    <mergeCell ref="A1:C1"/>
    <mergeCell ref="A3:C3"/>
    <mergeCell ref="A11:C11"/>
    <mergeCell ref="A19:C19"/>
  </mergeCells>
  <dataValidations count="4">
    <dataValidation allowBlank="false" errorStyle="stop" operator="between" showDropDown="false" showErrorMessage="false" showInputMessage="false" sqref="B5" type="list">
      <formula1>"Active,Paused"</formula1>
      <formula2>0</formula2>
    </dataValidation>
    <dataValidation allowBlank="false" errorStyle="stop" operator="between" showDropDown="false" showErrorMessage="false" showInputMessage="false" sqref="B9" type="list">
      <formula1>"None,Target ROAS Change,Budget Change,Pause,Re-enable,Seasonality Start,Seasonality End"</formula1>
      <formula2>0</formula2>
    </dataValidation>
    <dataValidation allowBlank="false" errorStyle="stop" operator="between" showDropDown="false" showErrorMessage="false" showInputMessage="false" sqref="B12" type="list">
      <formula1>"Y,N"</formula1>
      <formula2>0</formula2>
    </dataValidation>
    <dataValidation allowBlank="false" errorStyle="stop" operator="between" showDropDown="false" showErrorMessage="false" showInputMessage="false" sqref="B13" type="list">
      <formula1>"Up,Down"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20"/>
    <col collapsed="false" customWidth="true" hidden="false" outlineLevel="0" max="4" min="4" style="0" width="24"/>
    <col collapsed="false" customWidth="true" hidden="false" outlineLevel="0" max="5" min="5" style="0" width="55"/>
  </cols>
  <sheetData>
    <row r="1" customFormat="false" ht="21.75" hidden="false" customHeight="true" outlineLevel="0" collapsed="false">
      <c r="A1" s="1" t="s">
        <v>79</v>
      </c>
      <c r="B1" s="1"/>
      <c r="C1" s="1"/>
      <c r="D1" s="1"/>
      <c r="E1" s="1"/>
    </row>
    <row r="2" customFormat="false" ht="23.85" hidden="false" customHeight="false" outlineLevel="0" collapsed="false">
      <c r="A2" s="12" t="s">
        <v>80</v>
      </c>
      <c r="B2" s="12" t="s">
        <v>81</v>
      </c>
      <c r="C2" s="12" t="s">
        <v>82</v>
      </c>
      <c r="D2" s="12" t="s">
        <v>83</v>
      </c>
      <c r="E2" s="12" t="s">
        <v>84</v>
      </c>
    </row>
    <row r="3" customFormat="false" ht="15" hidden="false" customHeight="false" outlineLevel="0" collapsed="false">
      <c r="A3" s="13" t="n">
        <v>0</v>
      </c>
      <c r="B3" s="13" t="s">
        <v>85</v>
      </c>
      <c r="C3" s="11" t="n">
        <v>0.492</v>
      </c>
      <c r="D3" s="14" t="n">
        <f aca="false">C3*Inputs!$B$21</f>
        <v>0.984492</v>
      </c>
      <c r="E3" s="7" t="s">
        <v>86</v>
      </c>
    </row>
    <row r="4" customFormat="false" ht="15" hidden="false" customHeight="false" outlineLevel="0" collapsed="false">
      <c r="A4" s="13" t="n">
        <v>1</v>
      </c>
      <c r="B4" s="13" t="s">
        <v>87</v>
      </c>
      <c r="C4" s="11" t="n">
        <v>0.577</v>
      </c>
      <c r="D4" s="14" t="n">
        <f aca="false">C4*Inputs!$B$21</f>
        <v>1.154577</v>
      </c>
      <c r="E4" s="7" t="s">
        <v>88</v>
      </c>
    </row>
    <row r="5" customFormat="false" ht="15" hidden="false" customHeight="false" outlineLevel="0" collapsed="false">
      <c r="A5" s="13" t="n">
        <v>2</v>
      </c>
      <c r="B5" s="13" t="s">
        <v>89</v>
      </c>
      <c r="C5" s="11" t="n">
        <v>0.614</v>
      </c>
      <c r="D5" s="14" t="n">
        <f aca="false">C5*Inputs!$B$21</f>
        <v>1.228614</v>
      </c>
    </row>
    <row r="6" customFormat="false" ht="15" hidden="false" customHeight="false" outlineLevel="0" collapsed="false">
      <c r="A6" s="13" t="n">
        <v>3</v>
      </c>
      <c r="B6" s="13" t="s">
        <v>90</v>
      </c>
      <c r="C6" s="11" t="n">
        <v>0.641</v>
      </c>
      <c r="D6" s="14" t="n">
        <f aca="false">C6*Inputs!$B$21</f>
        <v>1.282641</v>
      </c>
    </row>
    <row r="7" customFormat="false" ht="15" hidden="false" customHeight="false" outlineLevel="0" collapsed="false">
      <c r="A7" s="13" t="n">
        <v>4</v>
      </c>
      <c r="B7" s="13" t="s">
        <v>91</v>
      </c>
      <c r="C7" s="11" t="n">
        <v>0.663</v>
      </c>
      <c r="D7" s="14" t="n">
        <f aca="false">C7*Inputs!$B$21</f>
        <v>1.326663</v>
      </c>
    </row>
    <row r="8" customFormat="false" ht="15" hidden="false" customHeight="false" outlineLevel="0" collapsed="false">
      <c r="A8" s="13" t="n">
        <v>5</v>
      </c>
      <c r="B8" s="13" t="s">
        <v>92</v>
      </c>
      <c r="C8" s="11" t="n">
        <v>0.679</v>
      </c>
      <c r="D8" s="14" t="n">
        <f aca="false">C8*Inputs!$B$21</f>
        <v>1.358679</v>
      </c>
    </row>
    <row r="9" customFormat="false" ht="15" hidden="false" customHeight="false" outlineLevel="0" collapsed="false">
      <c r="A9" s="13" t="n">
        <v>6</v>
      </c>
      <c r="B9" s="13" t="s">
        <v>93</v>
      </c>
      <c r="C9" s="11" t="n">
        <v>0.693</v>
      </c>
      <c r="D9" s="14" t="n">
        <f aca="false">C9*Inputs!$B$21</f>
        <v>1.386693</v>
      </c>
    </row>
    <row r="10" customFormat="false" ht="15" hidden="false" customHeight="false" outlineLevel="0" collapsed="false">
      <c r="A10" s="13" t="n">
        <v>7</v>
      </c>
      <c r="B10" s="13" t="s">
        <v>94</v>
      </c>
      <c r="C10" s="11" t="n">
        <v>0.71</v>
      </c>
      <c r="D10" s="14" t="n">
        <f aca="false">C10*Inputs!$B$21</f>
        <v>1.42071</v>
      </c>
    </row>
    <row r="11" customFormat="false" ht="15" hidden="false" customHeight="false" outlineLevel="0" collapsed="false">
      <c r="A11" s="13" t="n">
        <v>8</v>
      </c>
      <c r="B11" s="13" t="s">
        <v>95</v>
      </c>
      <c r="C11" s="11" t="n">
        <v>1</v>
      </c>
      <c r="D11" s="14" t="n">
        <f aca="false">C11*Inputs!$B$21</f>
        <v>2.001</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6"/>
    <col collapsed="false" customWidth="true" hidden="false" outlineLevel="0" max="4" min="4" style="0" width="10"/>
    <col collapsed="false" customWidth="true" hidden="false" outlineLevel="0" max="5" min="5" style="0" width="9"/>
    <col collapsed="false" customWidth="true" hidden="false" outlineLevel="0" max="6" min="6" style="0" width="14"/>
    <col collapsed="false" customWidth="true" hidden="false" outlineLevel="0" max="7" min="7" style="0" width="18"/>
    <col collapsed="false" customWidth="true" hidden="false" outlineLevel="0" max="9" min="8" style="0" width="16"/>
  </cols>
  <sheetData>
    <row r="1" customFormat="false" ht="21.75" hidden="false" customHeight="true" outlineLevel="0" collapsed="false">
      <c r="A1" s="1" t="s">
        <v>96</v>
      </c>
      <c r="B1" s="1"/>
      <c r="C1" s="1"/>
      <c r="D1" s="1"/>
      <c r="E1" s="1"/>
      <c r="F1" s="1"/>
      <c r="G1" s="1"/>
      <c r="H1" s="1"/>
    </row>
    <row r="2" customFormat="false" ht="30" hidden="false" customHeight="true" outlineLevel="0" collapsed="false">
      <c r="A2" s="15" t="s">
        <v>97</v>
      </c>
      <c r="B2" s="15" t="s">
        <v>98</v>
      </c>
      <c r="C2" s="15" t="s">
        <v>99</v>
      </c>
      <c r="D2" s="15" t="s">
        <v>100</v>
      </c>
      <c r="E2" s="15" t="s">
        <v>101</v>
      </c>
      <c r="F2" s="15" t="s">
        <v>102</v>
      </c>
      <c r="G2" s="15" t="s">
        <v>103</v>
      </c>
      <c r="H2" s="15" t="s">
        <v>104</v>
      </c>
      <c r="I2" s="15" t="s">
        <v>105</v>
      </c>
    </row>
    <row r="3" customFormat="false" ht="15" hidden="false" customHeight="false" outlineLevel="0" collapsed="false">
      <c r="A3" s="6" t="n">
        <v>46222</v>
      </c>
      <c r="B3" s="10" t="n">
        <v>4715</v>
      </c>
      <c r="C3" s="10" t="n">
        <v>10595.26</v>
      </c>
      <c r="D3" s="16" t="n">
        <v>125</v>
      </c>
      <c r="E3" s="13" t="n">
        <f aca="false">IF($A3="","",Inputs!$B$4-$A3)</f>
        <v>20</v>
      </c>
      <c r="F3" s="14" t="n">
        <f aca="false">IF($A3="","",INDEX('Lag Table'!$C$3:$C$11,MATCH(MIN($E3,8),'Lag Table'!$A$3:$A$11,0)))</f>
        <v>1</v>
      </c>
      <c r="G3" s="17" t="n">
        <f aca="false">IF($A3="","",$C3/$F3)</f>
        <v>10595.26</v>
      </c>
      <c r="H3" s="18" t="n">
        <f aca="false">IF($A3="","",IFERROR($C3/$B3,""))</f>
        <v>2.24713891834571</v>
      </c>
      <c r="I3" s="18" t="n">
        <f aca="false">IF($A3="","",IFERROR($G3/$B3,""))</f>
        <v>2.24713891834571</v>
      </c>
    </row>
    <row r="4" customFormat="false" ht="15" hidden="false" customHeight="false" outlineLevel="0" collapsed="false">
      <c r="A4" s="6" t="n">
        <v>46223</v>
      </c>
      <c r="B4" s="10" t="n">
        <v>5142</v>
      </c>
      <c r="C4" s="10" t="n">
        <v>11404.49</v>
      </c>
      <c r="D4" s="16" t="n">
        <v>134</v>
      </c>
      <c r="E4" s="13" t="n">
        <f aca="false">IF($A4="","",Inputs!$B$4-$A4)</f>
        <v>19</v>
      </c>
      <c r="F4" s="14" t="n">
        <f aca="false">IF($A4="","",INDEX('Lag Table'!$C$3:$C$11,MATCH(MIN($E4,8),'Lag Table'!$A$3:$A$11,0)))</f>
        <v>1</v>
      </c>
      <c r="G4" s="17" t="n">
        <f aca="false">IF($A4="","",$C4/$F4)</f>
        <v>11404.49</v>
      </c>
      <c r="H4" s="18" t="n">
        <f aca="false">IF($A4="","",IFERROR($C4/$B4,""))</f>
        <v>2.21790937378452</v>
      </c>
      <c r="I4" s="18" t="n">
        <f aca="false">IF($A4="","",IFERROR($G4/$B4,""))</f>
        <v>2.21790937378452</v>
      </c>
    </row>
    <row r="5" customFormat="false" ht="15" hidden="false" customHeight="false" outlineLevel="0" collapsed="false">
      <c r="A5" s="6" t="n">
        <v>46224</v>
      </c>
      <c r="B5" s="10" t="n">
        <v>4752</v>
      </c>
      <c r="C5" s="10" t="n">
        <v>11012.89</v>
      </c>
      <c r="D5" s="16" t="n">
        <v>130</v>
      </c>
      <c r="E5" s="13" t="n">
        <f aca="false">IF($A5="","",Inputs!$B$4-$A5)</f>
        <v>18</v>
      </c>
      <c r="F5" s="14" t="n">
        <f aca="false">IF($A5="","",INDEX('Lag Table'!$C$3:$C$11,MATCH(MIN($E5,8),'Lag Table'!$A$3:$A$11,0)))</f>
        <v>1</v>
      </c>
      <c r="G5" s="17" t="n">
        <f aca="false">IF($A5="","",$C5/$F5)</f>
        <v>11012.89</v>
      </c>
      <c r="H5" s="18" t="n">
        <f aca="false">IF($A5="","",IFERROR($C5/$B5,""))</f>
        <v>2.31752735690236</v>
      </c>
      <c r="I5" s="18" t="n">
        <f aca="false">IF($A5="","",IFERROR($G5/$B5,""))</f>
        <v>2.31752735690236</v>
      </c>
    </row>
    <row r="6" customFormat="false" ht="15" hidden="false" customHeight="false" outlineLevel="0" collapsed="false">
      <c r="A6" s="6" t="n">
        <v>46225</v>
      </c>
      <c r="B6" s="10" t="n">
        <v>4831</v>
      </c>
      <c r="C6" s="10" t="n">
        <v>10418.79</v>
      </c>
      <c r="D6" s="16" t="n">
        <v>123</v>
      </c>
      <c r="E6" s="13" t="n">
        <f aca="false">IF($A6="","",Inputs!$B$4-$A6)</f>
        <v>17</v>
      </c>
      <c r="F6" s="14" t="n">
        <f aca="false">IF($A6="","",INDEX('Lag Table'!$C$3:$C$11,MATCH(MIN($E6,8),'Lag Table'!$A$3:$A$11,0)))</f>
        <v>1</v>
      </c>
      <c r="G6" s="17" t="n">
        <f aca="false">IF($A6="","",$C6/$F6)</f>
        <v>10418.79</v>
      </c>
      <c r="H6" s="18" t="n">
        <f aca="false">IF($A6="","",IFERROR($C6/$B6,""))</f>
        <v>2.15665286690126</v>
      </c>
      <c r="I6" s="18" t="n">
        <f aca="false">IF($A6="","",IFERROR($G6/$B6,""))</f>
        <v>2.15665286690126</v>
      </c>
    </row>
    <row r="7" customFormat="false" ht="15" hidden="false" customHeight="false" outlineLevel="0" collapsed="false">
      <c r="A7" s="6" t="n">
        <v>46226</v>
      </c>
      <c r="B7" s="10" t="n">
        <v>4819</v>
      </c>
      <c r="C7" s="10" t="n">
        <v>10479.83</v>
      </c>
      <c r="D7" s="16" t="n">
        <v>123</v>
      </c>
      <c r="E7" s="13" t="n">
        <f aca="false">IF($A7="","",Inputs!$B$4-$A7)</f>
        <v>16</v>
      </c>
      <c r="F7" s="14" t="n">
        <f aca="false">IF($A7="","",INDEX('Lag Table'!$C$3:$C$11,MATCH(MIN($E7,8),'Lag Table'!$A$3:$A$11,0)))</f>
        <v>1</v>
      </c>
      <c r="G7" s="17" t="n">
        <f aca="false">IF($A7="","",$C7/$F7)</f>
        <v>10479.83</v>
      </c>
      <c r="H7" s="18" t="n">
        <f aca="false">IF($A7="","",IFERROR($C7/$B7,""))</f>
        <v>2.17468976966176</v>
      </c>
      <c r="I7" s="18" t="n">
        <f aca="false">IF($A7="","",IFERROR($G7/$B7,""))</f>
        <v>2.17468976966176</v>
      </c>
    </row>
    <row r="8" customFormat="false" ht="15" hidden="false" customHeight="false" outlineLevel="0" collapsed="false">
      <c r="A8" s="6" t="n">
        <v>46227</v>
      </c>
      <c r="B8" s="10" t="n">
        <v>4832</v>
      </c>
      <c r="C8" s="10" t="n">
        <v>10973.89</v>
      </c>
      <c r="D8" s="16" t="n">
        <v>129</v>
      </c>
      <c r="E8" s="13" t="n">
        <f aca="false">IF($A8="","",Inputs!$B$4-$A8)</f>
        <v>15</v>
      </c>
      <c r="F8" s="14" t="n">
        <f aca="false">IF($A8="","",INDEX('Lag Table'!$C$3:$C$11,MATCH(MIN($E8,8),'Lag Table'!$A$3:$A$11,0)))</f>
        <v>1</v>
      </c>
      <c r="G8" s="17" t="n">
        <f aca="false">IF($A8="","",$C8/$F8)</f>
        <v>10973.89</v>
      </c>
      <c r="H8" s="18" t="n">
        <f aca="false">IF($A8="","",IFERROR($C8/$B8,""))</f>
        <v>2.27108650662252</v>
      </c>
      <c r="I8" s="18" t="n">
        <f aca="false">IF($A8="","",IFERROR($G8/$B8,""))</f>
        <v>2.27108650662252</v>
      </c>
    </row>
    <row r="9" customFormat="false" ht="15" hidden="false" customHeight="false" outlineLevel="0" collapsed="false">
      <c r="A9" s="6" t="n">
        <v>46228</v>
      </c>
      <c r="B9" s="10" t="n">
        <v>4704</v>
      </c>
      <c r="C9" s="10" t="n">
        <v>11074.66</v>
      </c>
      <c r="D9" s="16" t="n">
        <v>130</v>
      </c>
      <c r="E9" s="13" t="n">
        <f aca="false">IF($A9="","",Inputs!$B$4-$A9)</f>
        <v>14</v>
      </c>
      <c r="F9" s="14" t="n">
        <f aca="false">IF($A9="","",INDEX('Lag Table'!$C$3:$C$11,MATCH(MIN($E9,8),'Lag Table'!$A$3:$A$11,0)))</f>
        <v>1</v>
      </c>
      <c r="G9" s="17" t="n">
        <f aca="false">IF($A9="","",$C9/$F9)</f>
        <v>11074.66</v>
      </c>
      <c r="H9" s="18" t="n">
        <f aca="false">IF($A9="","",IFERROR($C9/$B9,""))</f>
        <v>2.35430697278912</v>
      </c>
      <c r="I9" s="18" t="n">
        <f aca="false">IF($A9="","",IFERROR($G9/$B9,""))</f>
        <v>2.35430697278912</v>
      </c>
    </row>
    <row r="10" customFormat="false" ht="15" hidden="false" customHeight="false" outlineLevel="0" collapsed="false">
      <c r="A10" s="6" t="n">
        <v>46229</v>
      </c>
      <c r="B10" s="10" t="n">
        <v>4904</v>
      </c>
      <c r="C10" s="10" t="n">
        <v>10996.23</v>
      </c>
      <c r="D10" s="16" t="n">
        <v>129</v>
      </c>
      <c r="E10" s="13" t="n">
        <f aca="false">IF($A10="","",Inputs!$B$4-$A10)</f>
        <v>13</v>
      </c>
      <c r="F10" s="14" t="n">
        <f aca="false">IF($A10="","",INDEX('Lag Table'!$C$3:$C$11,MATCH(MIN($E10,8),'Lag Table'!$A$3:$A$11,0)))</f>
        <v>1</v>
      </c>
      <c r="G10" s="17" t="n">
        <f aca="false">IF($A10="","",$C10/$F10)</f>
        <v>10996.23</v>
      </c>
      <c r="H10" s="18" t="n">
        <f aca="false">IF($A10="","",IFERROR($C10/$B10,""))</f>
        <v>2.24229812398042</v>
      </c>
      <c r="I10" s="18" t="n">
        <f aca="false">IF($A10="","",IFERROR($G10/$B10,""))</f>
        <v>2.24229812398042</v>
      </c>
    </row>
    <row r="11" customFormat="false" ht="15" hidden="false" customHeight="false" outlineLevel="0" collapsed="false">
      <c r="A11" s="6" t="n">
        <v>46230</v>
      </c>
      <c r="B11" s="10" t="n">
        <v>4902</v>
      </c>
      <c r="C11" s="10" t="n">
        <v>11197.29</v>
      </c>
      <c r="D11" s="16" t="n">
        <v>132</v>
      </c>
      <c r="E11" s="13" t="n">
        <f aca="false">IF($A11="","",Inputs!$B$4-$A11)</f>
        <v>12</v>
      </c>
      <c r="F11" s="14" t="n">
        <f aca="false">IF($A11="","",INDEX('Lag Table'!$C$3:$C$11,MATCH(MIN($E11,8),'Lag Table'!$A$3:$A$11,0)))</f>
        <v>1</v>
      </c>
      <c r="G11" s="17" t="n">
        <f aca="false">IF($A11="","",$C11/$F11)</f>
        <v>11197.29</v>
      </c>
      <c r="H11" s="18" t="n">
        <f aca="false">IF($A11="","",IFERROR($C11/$B11,""))</f>
        <v>2.28422888616891</v>
      </c>
      <c r="I11" s="18" t="n">
        <f aca="false">IF($A11="","",IFERROR($G11/$B11,""))</f>
        <v>2.28422888616891</v>
      </c>
    </row>
    <row r="12" customFormat="false" ht="15" hidden="false" customHeight="false" outlineLevel="0" collapsed="false">
      <c r="A12" s="6" t="n">
        <v>46231</v>
      </c>
      <c r="B12" s="10" t="n">
        <v>5208</v>
      </c>
      <c r="C12" s="10" t="n">
        <v>11368.25</v>
      </c>
      <c r="D12" s="16" t="n">
        <v>134</v>
      </c>
      <c r="E12" s="13" t="n">
        <f aca="false">IF($A12="","",Inputs!$B$4-$A12)</f>
        <v>11</v>
      </c>
      <c r="F12" s="14" t="n">
        <f aca="false">IF($A12="","",INDEX('Lag Table'!$C$3:$C$11,MATCH(MIN($E12,8),'Lag Table'!$A$3:$A$11,0)))</f>
        <v>1</v>
      </c>
      <c r="G12" s="17" t="n">
        <f aca="false">IF($A12="","",$C12/$F12)</f>
        <v>11368.25</v>
      </c>
      <c r="H12" s="18" t="n">
        <f aca="false">IF($A12="","",IFERROR($C12/$B12,""))</f>
        <v>2.18284370199693</v>
      </c>
      <c r="I12" s="18" t="n">
        <f aca="false">IF($A12="","",IFERROR($G12/$B12,""))</f>
        <v>2.18284370199693</v>
      </c>
    </row>
    <row r="13" customFormat="false" ht="15" hidden="false" customHeight="false" outlineLevel="0" collapsed="false">
      <c r="A13" s="6" t="n">
        <v>46232</v>
      </c>
      <c r="B13" s="10" t="n">
        <v>5138</v>
      </c>
      <c r="C13" s="10" t="n">
        <v>11901.92</v>
      </c>
      <c r="D13" s="16" t="n">
        <v>140</v>
      </c>
      <c r="E13" s="13" t="n">
        <f aca="false">IF($A13="","",Inputs!$B$4-$A13)</f>
        <v>10</v>
      </c>
      <c r="F13" s="14" t="n">
        <f aca="false">IF($A13="","",INDEX('Lag Table'!$C$3:$C$11,MATCH(MIN($E13,8),'Lag Table'!$A$3:$A$11,0)))</f>
        <v>1</v>
      </c>
      <c r="G13" s="17" t="n">
        <f aca="false">IF($A13="","",$C13/$F13)</f>
        <v>11901.92</v>
      </c>
      <c r="H13" s="18" t="n">
        <f aca="false">IF($A13="","",IFERROR($C13/$B13,""))</f>
        <v>2.31644998053717</v>
      </c>
      <c r="I13" s="18" t="n">
        <f aca="false">IF($A13="","",IFERROR($G13/$B13,""))</f>
        <v>2.31644998053717</v>
      </c>
    </row>
    <row r="14" customFormat="false" ht="15" hidden="false" customHeight="false" outlineLevel="0" collapsed="false">
      <c r="A14" s="6" t="n">
        <v>46233</v>
      </c>
      <c r="B14" s="10" t="n">
        <v>4927</v>
      </c>
      <c r="C14" s="10" t="n">
        <v>11588.03</v>
      </c>
      <c r="D14" s="16" t="n">
        <v>136</v>
      </c>
      <c r="E14" s="13" t="n">
        <f aca="false">IF($A14="","",Inputs!$B$4-$A14)</f>
        <v>9</v>
      </c>
      <c r="F14" s="14" t="n">
        <f aca="false">IF($A14="","",INDEX('Lag Table'!$C$3:$C$11,MATCH(MIN($E14,8),'Lag Table'!$A$3:$A$11,0)))</f>
        <v>1</v>
      </c>
      <c r="G14" s="17" t="n">
        <f aca="false">IF($A14="","",$C14/$F14)</f>
        <v>11588.03</v>
      </c>
      <c r="H14" s="18" t="n">
        <f aca="false">IF($A14="","",IFERROR($C14/$B14,""))</f>
        <v>2.35194438806576</v>
      </c>
      <c r="I14" s="18" t="n">
        <f aca="false">IF($A14="","",IFERROR($G14/$B14,""))</f>
        <v>2.35194438806576</v>
      </c>
    </row>
    <row r="15" customFormat="false" ht="15" hidden="false" customHeight="false" outlineLevel="0" collapsed="false">
      <c r="A15" s="6" t="n">
        <v>46234</v>
      </c>
      <c r="B15" s="10" t="n">
        <v>5071</v>
      </c>
      <c r="C15" s="10" t="n">
        <v>11998.7</v>
      </c>
      <c r="D15" s="16" t="n">
        <v>141</v>
      </c>
      <c r="E15" s="13" t="n">
        <f aca="false">IF($A15="","",Inputs!$B$4-$A15)</f>
        <v>8</v>
      </c>
      <c r="F15" s="14" t="n">
        <f aca="false">IF($A15="","",INDEX('Lag Table'!$C$3:$C$11,MATCH(MIN($E15,8),'Lag Table'!$A$3:$A$11,0)))</f>
        <v>1</v>
      </c>
      <c r="G15" s="17" t="n">
        <f aca="false">IF($A15="","",$C15/$F15)</f>
        <v>11998.7</v>
      </c>
      <c r="H15" s="18" t="n">
        <f aca="false">IF($A15="","",IFERROR($C15/$B15,""))</f>
        <v>2.36614080063104</v>
      </c>
      <c r="I15" s="18" t="n">
        <f aca="false">IF($A15="","",IFERROR($G15/$B15,""))</f>
        <v>2.36614080063104</v>
      </c>
    </row>
    <row r="16" customFormat="false" ht="15" hidden="false" customHeight="false" outlineLevel="0" collapsed="false">
      <c r="A16" s="6" t="n">
        <v>46235</v>
      </c>
      <c r="B16" s="10" t="n">
        <v>5123</v>
      </c>
      <c r="C16" s="10" t="n">
        <v>8015.71</v>
      </c>
      <c r="D16" s="16" t="n">
        <v>94</v>
      </c>
      <c r="E16" s="13" t="n">
        <f aca="false">IF($A16="","",Inputs!$B$4-$A16)</f>
        <v>7</v>
      </c>
      <c r="F16" s="14" t="n">
        <f aca="false">IF($A16="","",INDEX('Lag Table'!$C$3:$C$11,MATCH(MIN($E16,8),'Lag Table'!$A$3:$A$11,0)))</f>
        <v>0.71</v>
      </c>
      <c r="G16" s="17" t="n">
        <f aca="false">IF($A16="","",$C16/$F16)</f>
        <v>11289.7323943662</v>
      </c>
      <c r="H16" s="18" t="n">
        <f aca="false">IF($A16="","",IFERROR($C16/$B16,""))</f>
        <v>1.56465157134492</v>
      </c>
      <c r="I16" s="18" t="n">
        <f aca="false">IF($A16="","",IFERROR($G16/$B16,""))</f>
        <v>2.20373460752805</v>
      </c>
    </row>
    <row r="17" customFormat="false" ht="15" hidden="false" customHeight="false" outlineLevel="0" collapsed="false">
      <c r="A17" s="6" t="n">
        <v>46236</v>
      </c>
      <c r="B17" s="10" t="n">
        <v>4874</v>
      </c>
      <c r="C17" s="10" t="n">
        <v>7228.99</v>
      </c>
      <c r="D17" s="16" t="n">
        <v>85</v>
      </c>
      <c r="E17" s="13" t="n">
        <f aca="false">IF($A17="","",Inputs!$B$4-$A17)</f>
        <v>6</v>
      </c>
      <c r="F17" s="14" t="n">
        <f aca="false">IF($A17="","",INDEX('Lag Table'!$C$3:$C$11,MATCH(MIN($E17,8),'Lag Table'!$A$3:$A$11,0)))</f>
        <v>0.693</v>
      </c>
      <c r="G17" s="17" t="n">
        <f aca="false">IF($A17="","",$C17/$F17)</f>
        <v>10431.443001443</v>
      </c>
      <c r="H17" s="18" t="n">
        <f aca="false">IF($A17="","",IFERROR($C17/$B17,""))</f>
        <v>1.48317398440706</v>
      </c>
      <c r="I17" s="18" t="n">
        <f aca="false">IF($A17="","",IFERROR($G17/$B17,""))</f>
        <v>2.14022219972158</v>
      </c>
    </row>
    <row r="18" customFormat="false" ht="15" hidden="false" customHeight="false" outlineLevel="0" collapsed="false">
      <c r="A18" s="6" t="n">
        <v>46237</v>
      </c>
      <c r="B18" s="10" t="n">
        <v>4761</v>
      </c>
      <c r="C18" s="10" t="n">
        <v>7006.26</v>
      </c>
      <c r="D18" s="16" t="n">
        <v>82</v>
      </c>
      <c r="E18" s="13" t="n">
        <f aca="false">IF($A18="","",Inputs!$B$4-$A18)</f>
        <v>5</v>
      </c>
      <c r="F18" s="14" t="n">
        <f aca="false">IF($A18="","",INDEX('Lag Table'!$C$3:$C$11,MATCH(MIN($E18,8),'Lag Table'!$A$3:$A$11,0)))</f>
        <v>0.679</v>
      </c>
      <c r="G18" s="17" t="n">
        <f aca="false">IF($A18="","",$C18/$F18)</f>
        <v>10318.4977908689</v>
      </c>
      <c r="H18" s="18" t="n">
        <f aca="false">IF($A18="","",IFERROR($C18/$B18,""))</f>
        <v>1.47159420289855</v>
      </c>
      <c r="I18" s="18" t="n">
        <f aca="false">IF($A18="","",IFERROR($G18/$B18,""))</f>
        <v>2.16729632238373</v>
      </c>
    </row>
    <row r="19" customFormat="false" ht="15" hidden="false" customHeight="false" outlineLevel="0" collapsed="false">
      <c r="A19" s="6" t="n">
        <v>46238</v>
      </c>
      <c r="B19" s="10" t="n">
        <v>4919</v>
      </c>
      <c r="C19" s="10" t="n">
        <v>6456.75</v>
      </c>
      <c r="D19" s="16" t="n">
        <v>76</v>
      </c>
      <c r="E19" s="13" t="n">
        <f aca="false">IF($A19="","",Inputs!$B$4-$A19)</f>
        <v>4</v>
      </c>
      <c r="F19" s="14" t="n">
        <f aca="false">IF($A19="","",INDEX('Lag Table'!$C$3:$C$11,MATCH(MIN($E19,8),'Lag Table'!$A$3:$A$11,0)))</f>
        <v>0.663</v>
      </c>
      <c r="G19" s="17" t="n">
        <f aca="false">IF($A19="","",$C19/$F19)</f>
        <v>9738.68778280543</v>
      </c>
      <c r="H19" s="18" t="n">
        <f aca="false">IF($A19="","",IFERROR($C19/$B19,""))</f>
        <v>1.31261435251067</v>
      </c>
      <c r="I19" s="18" t="n">
        <f aca="false">IF($A19="","",IFERROR($G19/$B19,""))</f>
        <v>1.97981048644144</v>
      </c>
    </row>
    <row r="20" customFormat="false" ht="15" hidden="false" customHeight="false" outlineLevel="0" collapsed="false">
      <c r="A20" s="6" t="n">
        <v>46239</v>
      </c>
      <c r="B20" s="10" t="n">
        <v>4860</v>
      </c>
      <c r="C20" s="10" t="n">
        <v>6174.53</v>
      </c>
      <c r="D20" s="16" t="n">
        <v>73</v>
      </c>
      <c r="E20" s="13" t="n">
        <f aca="false">IF($A20="","",Inputs!$B$4-$A20)</f>
        <v>3</v>
      </c>
      <c r="F20" s="14" t="n">
        <f aca="false">IF($A20="","",INDEX('Lag Table'!$C$3:$C$11,MATCH(MIN($E20,8),'Lag Table'!$A$3:$A$11,0)))</f>
        <v>0.641</v>
      </c>
      <c r="G20" s="17" t="n">
        <f aca="false">IF($A20="","",$C20/$F20)</f>
        <v>9632.65210608424</v>
      </c>
      <c r="H20" s="18" t="n">
        <f aca="false">IF($A20="","",IFERROR($C20/$B20,""))</f>
        <v>1.27047942386831</v>
      </c>
      <c r="I20" s="18" t="n">
        <f aca="false">IF($A20="","",IFERROR($G20/$B20,""))</f>
        <v>1.98202718232186</v>
      </c>
    </row>
    <row r="21" customFormat="false" ht="15" hidden="false" customHeight="false" outlineLevel="0" collapsed="false">
      <c r="A21" s="6" t="n">
        <v>46240</v>
      </c>
      <c r="B21" s="10" t="n">
        <v>5065</v>
      </c>
      <c r="C21" s="10" t="n">
        <v>6088.57</v>
      </c>
      <c r="D21" s="16" t="n">
        <v>72</v>
      </c>
      <c r="E21" s="13" t="n">
        <f aca="false">IF($A21="","",Inputs!$B$4-$A21)</f>
        <v>2</v>
      </c>
      <c r="F21" s="14" t="n">
        <f aca="false">IF($A21="","",INDEX('Lag Table'!$C$3:$C$11,MATCH(MIN($E21,8),'Lag Table'!$A$3:$A$11,0)))</f>
        <v>0.614</v>
      </c>
      <c r="G21" s="17" t="n">
        <f aca="false">IF($A21="","",$C21/$F21)</f>
        <v>9916.23778501629</v>
      </c>
      <c r="H21" s="18" t="n">
        <f aca="false">IF($A21="","",IFERROR($C21/$B21,""))</f>
        <v>1.20208687068115</v>
      </c>
      <c r="I21" s="18" t="n">
        <f aca="false">IF($A21="","",IFERROR($G21/$B21,""))</f>
        <v>1.95779620632108</v>
      </c>
    </row>
    <row r="22" customFormat="false" ht="15" hidden="false" customHeight="false" outlineLevel="0" collapsed="false">
      <c r="A22" s="6" t="n">
        <v>46241</v>
      </c>
      <c r="B22" s="10" t="n">
        <v>4798</v>
      </c>
      <c r="C22" s="10" t="n">
        <v>5522.6</v>
      </c>
      <c r="D22" s="16" t="n">
        <v>65</v>
      </c>
      <c r="E22" s="13" t="n">
        <f aca="false">IF($A22="","",Inputs!$B$4-$A22)</f>
        <v>1</v>
      </c>
      <c r="F22" s="14" t="n">
        <f aca="false">IF($A22="","",INDEX('Lag Table'!$C$3:$C$11,MATCH(MIN($E22,8),'Lag Table'!$A$3:$A$11,0)))</f>
        <v>0.577</v>
      </c>
      <c r="G22" s="17" t="n">
        <f aca="false">IF($A22="","",$C22/$F22)</f>
        <v>9571.23050259965</v>
      </c>
      <c r="H22" s="18" t="n">
        <f aca="false">IF($A22="","",IFERROR($C22/$B22,""))</f>
        <v>1.15102125885786</v>
      </c>
      <c r="I22" s="18" t="n">
        <f aca="false">IF($A22="","",IFERROR($G22/$B22,""))</f>
        <v>1.99483753701535</v>
      </c>
    </row>
    <row r="23" customFormat="false" ht="15" hidden="false" customHeight="false" outlineLevel="0" collapsed="false">
      <c r="A23" s="6" t="n">
        <v>46242</v>
      </c>
      <c r="B23" s="10" t="n">
        <v>5084</v>
      </c>
      <c r="C23" s="10" t="n">
        <v>5141.3</v>
      </c>
      <c r="D23" s="16" t="n">
        <v>60</v>
      </c>
      <c r="E23" s="13" t="n">
        <f aca="false">IF($A23="","",Inputs!$B$4-$A23)</f>
        <v>0</v>
      </c>
      <c r="F23" s="14" t="n">
        <f aca="false">IF($A23="","",INDEX('Lag Table'!$C$3:$C$11,MATCH(MIN($E23,8),'Lag Table'!$A$3:$A$11,0)))</f>
        <v>0.492</v>
      </c>
      <c r="G23" s="17" t="n">
        <f aca="false">IF($A23="","",$C23/$F23)</f>
        <v>10449.7967479675</v>
      </c>
      <c r="H23" s="18" t="n">
        <f aca="false">IF($A23="","",IFERROR($C23/$B23,""))</f>
        <v>1.01127065302911</v>
      </c>
      <c r="I23" s="18" t="n">
        <f aca="false">IF($A23="","",IFERROR($G23/$B23,""))</f>
        <v>2.05542815656323</v>
      </c>
    </row>
    <row r="24" customFormat="false" ht="15" hidden="false" customHeight="false" outlineLevel="0" collapsed="false">
      <c r="A24" s="6"/>
      <c r="B24" s="10"/>
      <c r="C24" s="10"/>
      <c r="D24" s="16"/>
      <c r="E24" s="13" t="str">
        <f aca="false">IF($A24="","",Inputs!$B$4-$A24)</f>
        <v/>
      </c>
      <c r="F24" s="14" t="str">
        <f aca="false">IF($A24="","",INDEX('Lag Table'!$C$3:$C$11,MATCH(MIN($E24,8),'Lag Table'!$A$3:$A$11,0)))</f>
        <v/>
      </c>
      <c r="G24" s="17" t="str">
        <f aca="false">IF($A24="","",$C24/$F24)</f>
        <v/>
      </c>
      <c r="H24" s="18" t="str">
        <f aca="false">IF($A24="","",IFERROR($C24/$B24,""))</f>
        <v/>
      </c>
      <c r="I24" s="18" t="str">
        <f aca="false">IF($A24="","",IFERROR($G24/$B24,""))</f>
        <v/>
      </c>
    </row>
    <row r="25" customFormat="false" ht="15" hidden="false" customHeight="false" outlineLevel="0" collapsed="false">
      <c r="A25" s="6"/>
      <c r="B25" s="10"/>
      <c r="C25" s="10"/>
      <c r="D25" s="16"/>
      <c r="E25" s="13" t="str">
        <f aca="false">IF($A25="","",Inputs!$B$4-$A25)</f>
        <v/>
      </c>
      <c r="F25" s="14" t="str">
        <f aca="false">IF($A25="","",INDEX('Lag Table'!$C$3:$C$11,MATCH(MIN($E25,8),'Lag Table'!$A$3:$A$11,0)))</f>
        <v/>
      </c>
      <c r="G25" s="17" t="str">
        <f aca="false">IF($A25="","",$C25/$F25)</f>
        <v/>
      </c>
      <c r="H25" s="18" t="str">
        <f aca="false">IF($A25="","",IFERROR($C25/$B25,""))</f>
        <v/>
      </c>
      <c r="I25" s="18" t="str">
        <f aca="false">IF($A25="","",IFERROR($G25/$B25,""))</f>
        <v/>
      </c>
    </row>
    <row r="26" customFormat="false" ht="15" hidden="false" customHeight="false" outlineLevel="0" collapsed="false">
      <c r="A26" s="6"/>
      <c r="B26" s="10"/>
      <c r="C26" s="10"/>
      <c r="D26" s="16"/>
      <c r="E26" s="13" t="str">
        <f aca="false">IF($A26="","",Inputs!$B$4-$A26)</f>
        <v/>
      </c>
      <c r="F26" s="14" t="str">
        <f aca="false">IF($A26="","",INDEX('Lag Table'!$C$3:$C$11,MATCH(MIN($E26,8),'Lag Table'!$A$3:$A$11,0)))</f>
        <v/>
      </c>
      <c r="G26" s="17" t="str">
        <f aca="false">IF($A26="","",$C26/$F26)</f>
        <v/>
      </c>
      <c r="H26" s="18" t="str">
        <f aca="false">IF($A26="","",IFERROR($C26/$B26,""))</f>
        <v/>
      </c>
      <c r="I26" s="18" t="str">
        <f aca="false">IF($A26="","",IFERROR($G26/$B26,""))</f>
        <v/>
      </c>
    </row>
    <row r="27" customFormat="false" ht="15" hidden="false" customHeight="false" outlineLevel="0" collapsed="false">
      <c r="A27" s="6"/>
      <c r="B27" s="10"/>
      <c r="C27" s="10"/>
      <c r="D27" s="16"/>
      <c r="E27" s="13" t="str">
        <f aca="false">IF($A27="","",Inputs!$B$4-$A27)</f>
        <v/>
      </c>
      <c r="F27" s="14" t="str">
        <f aca="false">IF($A27="","",INDEX('Lag Table'!$C$3:$C$11,MATCH(MIN($E27,8),'Lag Table'!$A$3:$A$11,0)))</f>
        <v/>
      </c>
      <c r="G27" s="17" t="str">
        <f aca="false">IF($A27="","",$C27/$F27)</f>
        <v/>
      </c>
      <c r="H27" s="18" t="str">
        <f aca="false">IF($A27="","",IFERROR($C27/$B27,""))</f>
        <v/>
      </c>
      <c r="I27" s="18" t="str">
        <f aca="false">IF($A27="","",IFERROR($G27/$B27,""))</f>
        <v/>
      </c>
    </row>
    <row r="28" customFormat="false" ht="15" hidden="false" customHeight="false" outlineLevel="0" collapsed="false">
      <c r="A28" s="6"/>
      <c r="B28" s="10"/>
      <c r="C28" s="10"/>
      <c r="D28" s="16"/>
      <c r="E28" s="13" t="str">
        <f aca="false">IF($A28="","",Inputs!$B$4-$A28)</f>
        <v/>
      </c>
      <c r="F28" s="14" t="str">
        <f aca="false">IF($A28="","",INDEX('Lag Table'!$C$3:$C$11,MATCH(MIN($E28,8),'Lag Table'!$A$3:$A$11,0)))</f>
        <v/>
      </c>
      <c r="G28" s="17" t="str">
        <f aca="false">IF($A28="","",$C28/$F28)</f>
        <v/>
      </c>
      <c r="H28" s="18" t="str">
        <f aca="false">IF($A28="","",IFERROR($C28/$B28,""))</f>
        <v/>
      </c>
      <c r="I28" s="18" t="str">
        <f aca="false">IF($A28="","",IFERROR($G28/$B28,""))</f>
        <v/>
      </c>
    </row>
    <row r="29" customFormat="false" ht="15" hidden="false" customHeight="false" outlineLevel="0" collapsed="false">
      <c r="A29" s="6"/>
      <c r="B29" s="10"/>
      <c r="C29" s="10"/>
      <c r="D29" s="16"/>
      <c r="E29" s="13" t="str">
        <f aca="false">IF($A29="","",Inputs!$B$4-$A29)</f>
        <v/>
      </c>
      <c r="F29" s="14" t="str">
        <f aca="false">IF($A29="","",INDEX('Lag Table'!$C$3:$C$11,MATCH(MIN($E29,8),'Lag Table'!$A$3:$A$11,0)))</f>
        <v/>
      </c>
      <c r="G29" s="17" t="str">
        <f aca="false">IF($A29="","",$C29/$F29)</f>
        <v/>
      </c>
      <c r="H29" s="18" t="str">
        <f aca="false">IF($A29="","",IFERROR($C29/$B29,""))</f>
        <v/>
      </c>
      <c r="I29" s="18" t="str">
        <f aca="false">IF($A29="","",IFERROR($G29/$B29,""))</f>
        <v/>
      </c>
    </row>
    <row r="30" customFormat="false" ht="15" hidden="false" customHeight="false" outlineLevel="0" collapsed="false">
      <c r="A30" s="6"/>
      <c r="B30" s="10"/>
      <c r="C30" s="10"/>
      <c r="D30" s="16"/>
      <c r="E30" s="13" t="str">
        <f aca="false">IF($A30="","",Inputs!$B$4-$A30)</f>
        <v/>
      </c>
      <c r="F30" s="14" t="str">
        <f aca="false">IF($A30="","",INDEX('Lag Table'!$C$3:$C$11,MATCH(MIN($E30,8),'Lag Table'!$A$3:$A$11,0)))</f>
        <v/>
      </c>
      <c r="G30" s="17" t="str">
        <f aca="false">IF($A30="","",$C30/$F30)</f>
        <v/>
      </c>
      <c r="H30" s="18" t="str">
        <f aca="false">IF($A30="","",IFERROR($C30/$B30,""))</f>
        <v/>
      </c>
      <c r="I30" s="18" t="str">
        <f aca="false">IF($A30="","",IFERROR($G30/$B30,""))</f>
        <v/>
      </c>
    </row>
    <row r="31" customFormat="false" ht="15" hidden="false" customHeight="false" outlineLevel="0" collapsed="false">
      <c r="A31" s="6"/>
      <c r="B31" s="10"/>
      <c r="C31" s="10"/>
      <c r="D31" s="16"/>
      <c r="E31" s="13" t="str">
        <f aca="false">IF($A31="","",Inputs!$B$4-$A31)</f>
        <v/>
      </c>
      <c r="F31" s="14" t="str">
        <f aca="false">IF($A31="","",INDEX('Lag Table'!$C$3:$C$11,MATCH(MIN($E31,8),'Lag Table'!$A$3:$A$11,0)))</f>
        <v/>
      </c>
      <c r="G31" s="17" t="str">
        <f aca="false">IF($A31="","",$C31/$F31)</f>
        <v/>
      </c>
      <c r="H31" s="18" t="str">
        <f aca="false">IF($A31="","",IFERROR($C31/$B31,""))</f>
        <v/>
      </c>
      <c r="I31" s="18" t="str">
        <f aca="false">IF($A31="","",IFERROR($G31/$B31,""))</f>
        <v/>
      </c>
    </row>
    <row r="32" customFormat="false" ht="15" hidden="false" customHeight="false" outlineLevel="0" collapsed="false">
      <c r="A32" s="6"/>
      <c r="B32" s="10"/>
      <c r="C32" s="10"/>
      <c r="D32" s="16"/>
      <c r="E32" s="13" t="str">
        <f aca="false">IF($A32="","",Inputs!$B$4-$A32)</f>
        <v/>
      </c>
      <c r="F32" s="14" t="str">
        <f aca="false">IF($A32="","",INDEX('Lag Table'!$C$3:$C$11,MATCH(MIN($E32,8),'Lag Table'!$A$3:$A$11,0)))</f>
        <v/>
      </c>
      <c r="G32" s="17" t="str">
        <f aca="false">IF($A32="","",$C32/$F32)</f>
        <v/>
      </c>
      <c r="H32" s="18" t="str">
        <f aca="false">IF($A32="","",IFERROR($C32/$B32,""))</f>
        <v/>
      </c>
      <c r="I32" s="18" t="str">
        <f aca="false">IF($A32="","",IFERROR($G32/$B32,""))</f>
        <v/>
      </c>
    </row>
    <row r="33" customFormat="false" ht="15" hidden="false" customHeight="false" outlineLevel="0" collapsed="false">
      <c r="A33" s="6"/>
      <c r="B33" s="10"/>
      <c r="C33" s="10"/>
      <c r="D33" s="16"/>
      <c r="E33" s="13" t="str">
        <f aca="false">IF($A33="","",Inputs!$B$4-$A33)</f>
        <v/>
      </c>
      <c r="F33" s="14" t="str">
        <f aca="false">IF($A33="","",INDEX('Lag Table'!$C$3:$C$11,MATCH(MIN($E33,8),'Lag Table'!$A$3:$A$11,0)))</f>
        <v/>
      </c>
      <c r="G33" s="17" t="str">
        <f aca="false">IF($A33="","",$C33/$F33)</f>
        <v/>
      </c>
      <c r="H33" s="18" t="str">
        <f aca="false">IF($A33="","",IFERROR($C33/$B33,""))</f>
        <v/>
      </c>
      <c r="I33" s="18" t="str">
        <f aca="false">IF($A33="","",IFERROR($G33/$B33,""))</f>
        <v/>
      </c>
    </row>
    <row r="34" customFormat="false" ht="15" hidden="false" customHeight="false" outlineLevel="0" collapsed="false">
      <c r="A34" s="6"/>
      <c r="B34" s="10"/>
      <c r="C34" s="10"/>
      <c r="D34" s="16"/>
      <c r="E34" s="13" t="str">
        <f aca="false">IF($A34="","",Inputs!$B$4-$A34)</f>
        <v/>
      </c>
      <c r="F34" s="14" t="str">
        <f aca="false">IF($A34="","",INDEX('Lag Table'!$C$3:$C$11,MATCH(MIN($E34,8),'Lag Table'!$A$3:$A$11,0)))</f>
        <v/>
      </c>
      <c r="G34" s="17" t="str">
        <f aca="false">IF($A34="","",$C34/$F34)</f>
        <v/>
      </c>
      <c r="H34" s="18" t="str">
        <f aca="false">IF($A34="","",IFERROR($C34/$B34,""))</f>
        <v/>
      </c>
      <c r="I34" s="18" t="str">
        <f aca="false">IF($A34="","",IFERROR($G34/$B34,""))</f>
        <v/>
      </c>
    </row>
    <row r="35" customFormat="false" ht="15" hidden="false" customHeight="false" outlineLevel="0" collapsed="false">
      <c r="A35" s="6"/>
      <c r="B35" s="10"/>
      <c r="C35" s="10"/>
      <c r="D35" s="16"/>
      <c r="E35" s="13" t="str">
        <f aca="false">IF($A35="","",Inputs!$B$4-$A35)</f>
        <v/>
      </c>
      <c r="F35" s="14" t="str">
        <f aca="false">IF($A35="","",INDEX('Lag Table'!$C$3:$C$11,MATCH(MIN($E35,8),'Lag Table'!$A$3:$A$11,0)))</f>
        <v/>
      </c>
      <c r="G35" s="17" t="str">
        <f aca="false">IF($A35="","",$C35/$F35)</f>
        <v/>
      </c>
      <c r="H35" s="18" t="str">
        <f aca="false">IF($A35="","",IFERROR($C35/$B35,""))</f>
        <v/>
      </c>
      <c r="I35" s="18" t="str">
        <f aca="false">IF($A35="","",IFERROR($G35/$B35,""))</f>
        <v/>
      </c>
    </row>
    <row r="36" customFormat="false" ht="15" hidden="false" customHeight="false" outlineLevel="0" collapsed="false">
      <c r="A36" s="6"/>
      <c r="B36" s="10"/>
      <c r="C36" s="10"/>
      <c r="D36" s="16"/>
      <c r="E36" s="13" t="str">
        <f aca="false">IF($A36="","",Inputs!$B$4-$A36)</f>
        <v/>
      </c>
      <c r="F36" s="14" t="str">
        <f aca="false">IF($A36="","",INDEX('Lag Table'!$C$3:$C$11,MATCH(MIN($E36,8),'Lag Table'!$A$3:$A$11,0)))</f>
        <v/>
      </c>
      <c r="G36" s="17" t="str">
        <f aca="false">IF($A36="","",$C36/$F36)</f>
        <v/>
      </c>
      <c r="H36" s="18" t="str">
        <f aca="false">IF($A36="","",IFERROR($C36/$B36,""))</f>
        <v/>
      </c>
      <c r="I36" s="18" t="str">
        <f aca="false">IF($A36="","",IFERROR($G36/$B36,""))</f>
        <v/>
      </c>
    </row>
    <row r="37" customFormat="false" ht="15" hidden="false" customHeight="false" outlineLevel="0" collapsed="false">
      <c r="A37" s="6"/>
      <c r="B37" s="10"/>
      <c r="C37" s="10"/>
      <c r="D37" s="16"/>
      <c r="E37" s="13" t="str">
        <f aca="false">IF($A37="","",Inputs!$B$4-$A37)</f>
        <v/>
      </c>
      <c r="F37" s="14" t="str">
        <f aca="false">IF($A37="","",INDEX('Lag Table'!$C$3:$C$11,MATCH(MIN($E37,8),'Lag Table'!$A$3:$A$11,0)))</f>
        <v/>
      </c>
      <c r="G37" s="17" t="str">
        <f aca="false">IF($A37="","",$C37/$F37)</f>
        <v/>
      </c>
      <c r="H37" s="18" t="str">
        <f aca="false">IF($A37="","",IFERROR($C37/$B37,""))</f>
        <v/>
      </c>
      <c r="I37" s="18" t="str">
        <f aca="false">IF($A37="","",IFERROR($G37/$B37,""))</f>
        <v/>
      </c>
    </row>
    <row r="38" customFormat="false" ht="15" hidden="false" customHeight="false" outlineLevel="0" collapsed="false">
      <c r="A38" s="6"/>
      <c r="B38" s="10"/>
      <c r="C38" s="10"/>
      <c r="D38" s="16"/>
      <c r="E38" s="13" t="str">
        <f aca="false">IF($A38="","",Inputs!$B$4-$A38)</f>
        <v/>
      </c>
      <c r="F38" s="14" t="str">
        <f aca="false">IF($A38="","",INDEX('Lag Table'!$C$3:$C$11,MATCH(MIN($E38,8),'Lag Table'!$A$3:$A$11,0)))</f>
        <v/>
      </c>
      <c r="G38" s="17" t="str">
        <f aca="false">IF($A38="","",$C38/$F38)</f>
        <v/>
      </c>
      <c r="H38" s="18" t="str">
        <f aca="false">IF($A38="","",IFERROR($C38/$B38,""))</f>
        <v/>
      </c>
      <c r="I38" s="18" t="str">
        <f aca="false">IF($A38="","",IFERROR($G38/$B38,""))</f>
        <v/>
      </c>
    </row>
    <row r="39" customFormat="false" ht="15" hidden="false" customHeight="false" outlineLevel="0" collapsed="false">
      <c r="A39" s="6"/>
      <c r="B39" s="10"/>
      <c r="C39" s="10"/>
      <c r="D39" s="16"/>
      <c r="E39" s="13" t="str">
        <f aca="false">IF($A39="","",Inputs!$B$4-$A39)</f>
        <v/>
      </c>
      <c r="F39" s="14" t="str">
        <f aca="false">IF($A39="","",INDEX('Lag Table'!$C$3:$C$11,MATCH(MIN($E39,8),'Lag Table'!$A$3:$A$11,0)))</f>
        <v/>
      </c>
      <c r="G39" s="17" t="str">
        <f aca="false">IF($A39="","",$C39/$F39)</f>
        <v/>
      </c>
      <c r="H39" s="18" t="str">
        <f aca="false">IF($A39="","",IFERROR($C39/$B39,""))</f>
        <v/>
      </c>
      <c r="I39" s="18" t="str">
        <f aca="false">IF($A39="","",IFERROR($G39/$B39,""))</f>
        <v/>
      </c>
    </row>
    <row r="40" customFormat="false" ht="15" hidden="false" customHeight="false" outlineLevel="0" collapsed="false">
      <c r="A40" s="6"/>
      <c r="B40" s="10"/>
      <c r="C40" s="10"/>
      <c r="D40" s="16"/>
      <c r="E40" s="13" t="str">
        <f aca="false">IF($A40="","",Inputs!$B$4-$A40)</f>
        <v/>
      </c>
      <c r="F40" s="14" t="str">
        <f aca="false">IF($A40="","",INDEX('Lag Table'!$C$3:$C$11,MATCH(MIN($E40,8),'Lag Table'!$A$3:$A$11,0)))</f>
        <v/>
      </c>
      <c r="G40" s="17" t="str">
        <f aca="false">IF($A40="","",$C40/$F40)</f>
        <v/>
      </c>
      <c r="H40" s="18" t="str">
        <f aca="false">IF($A40="","",IFERROR($C40/$B40,""))</f>
        <v/>
      </c>
      <c r="I40" s="18" t="str">
        <f aca="false">IF($A40="","",IFERROR($G40/$B40,""))</f>
        <v/>
      </c>
    </row>
    <row r="41" customFormat="false" ht="15" hidden="false" customHeight="false" outlineLevel="0" collapsed="false">
      <c r="A41" s="6"/>
      <c r="B41" s="10"/>
      <c r="C41" s="10"/>
      <c r="D41" s="16"/>
      <c r="E41" s="13" t="str">
        <f aca="false">IF($A41="","",Inputs!$B$4-$A41)</f>
        <v/>
      </c>
      <c r="F41" s="14" t="str">
        <f aca="false">IF($A41="","",INDEX('Lag Table'!$C$3:$C$11,MATCH(MIN($E41,8),'Lag Table'!$A$3:$A$11,0)))</f>
        <v/>
      </c>
      <c r="G41" s="17" t="str">
        <f aca="false">IF($A41="","",$C41/$F41)</f>
        <v/>
      </c>
      <c r="H41" s="18" t="str">
        <f aca="false">IF($A41="","",IFERROR($C41/$B41,""))</f>
        <v/>
      </c>
      <c r="I41" s="18" t="str">
        <f aca="false">IF($A41="","",IFERROR($G41/$B41,""))</f>
        <v/>
      </c>
    </row>
    <row r="42" customFormat="false" ht="15" hidden="false" customHeight="false" outlineLevel="0" collapsed="false">
      <c r="A42" s="6"/>
      <c r="B42" s="10"/>
      <c r="C42" s="10"/>
      <c r="D42" s="16"/>
      <c r="E42" s="13" t="str">
        <f aca="false">IF($A42="","",Inputs!$B$4-$A42)</f>
        <v/>
      </c>
      <c r="F42" s="14" t="str">
        <f aca="false">IF($A42="","",INDEX('Lag Table'!$C$3:$C$11,MATCH(MIN($E42,8),'Lag Table'!$A$3:$A$11,0)))</f>
        <v/>
      </c>
      <c r="G42" s="17" t="str">
        <f aca="false">IF($A42="","",$C42/$F42)</f>
        <v/>
      </c>
      <c r="H42" s="18" t="str">
        <f aca="false">IF($A42="","",IFERROR($C42/$B42,""))</f>
        <v/>
      </c>
      <c r="I42" s="18" t="str">
        <f aca="false">IF($A42="","",IFERROR($G42/$B42,""))</f>
        <v/>
      </c>
    </row>
    <row r="43" customFormat="false" ht="15" hidden="false" customHeight="false" outlineLevel="0" collapsed="false">
      <c r="A43" s="6"/>
      <c r="B43" s="10"/>
      <c r="C43" s="10"/>
      <c r="D43" s="16"/>
      <c r="E43" s="13" t="str">
        <f aca="false">IF($A43="","",Inputs!$B$4-$A43)</f>
        <v/>
      </c>
      <c r="F43" s="14" t="str">
        <f aca="false">IF($A43="","",INDEX('Lag Table'!$C$3:$C$11,MATCH(MIN($E43,8),'Lag Table'!$A$3:$A$11,0)))</f>
        <v/>
      </c>
      <c r="G43" s="17" t="str">
        <f aca="false">IF($A43="","",$C43/$F43)</f>
        <v/>
      </c>
      <c r="H43" s="18" t="str">
        <f aca="false">IF($A43="","",IFERROR($C43/$B43,""))</f>
        <v/>
      </c>
      <c r="I43" s="18" t="str">
        <f aca="false">IF($A43="","",IFERROR($G43/$B43,""))</f>
        <v/>
      </c>
    </row>
    <row r="44" customFormat="false" ht="15" hidden="false" customHeight="false" outlineLevel="0" collapsed="false">
      <c r="A44" s="6"/>
      <c r="B44" s="10"/>
      <c r="C44" s="10"/>
      <c r="D44" s="16"/>
      <c r="E44" s="13" t="str">
        <f aca="false">IF($A44="","",Inputs!$B$4-$A44)</f>
        <v/>
      </c>
      <c r="F44" s="14" t="str">
        <f aca="false">IF($A44="","",INDEX('Lag Table'!$C$3:$C$11,MATCH(MIN($E44,8),'Lag Table'!$A$3:$A$11,0)))</f>
        <v/>
      </c>
      <c r="G44" s="17" t="str">
        <f aca="false">IF($A44="","",$C44/$F44)</f>
        <v/>
      </c>
      <c r="H44" s="18" t="str">
        <f aca="false">IF($A44="","",IFERROR($C44/$B44,""))</f>
        <v/>
      </c>
      <c r="I44" s="18" t="str">
        <f aca="false">IF($A44="","",IFERROR($G44/$B44,""))</f>
        <v/>
      </c>
    </row>
    <row r="45" customFormat="false" ht="15" hidden="false" customHeight="false" outlineLevel="0" collapsed="false">
      <c r="A45" s="6"/>
      <c r="B45" s="10"/>
      <c r="C45" s="10"/>
      <c r="D45" s="16"/>
      <c r="E45" s="13" t="str">
        <f aca="false">IF($A45="","",Inputs!$B$4-$A45)</f>
        <v/>
      </c>
      <c r="F45" s="14" t="str">
        <f aca="false">IF($A45="","",INDEX('Lag Table'!$C$3:$C$11,MATCH(MIN($E45,8),'Lag Table'!$A$3:$A$11,0)))</f>
        <v/>
      </c>
      <c r="G45" s="17" t="str">
        <f aca="false">IF($A45="","",$C45/$F45)</f>
        <v/>
      </c>
      <c r="H45" s="18" t="str">
        <f aca="false">IF($A45="","",IFERROR($C45/$B45,""))</f>
        <v/>
      </c>
      <c r="I45" s="18" t="str">
        <f aca="false">IF($A45="","",IFERROR($G45/$B45,""))</f>
        <v/>
      </c>
    </row>
    <row r="46" customFormat="false" ht="15" hidden="false" customHeight="false" outlineLevel="0" collapsed="false">
      <c r="A46" s="6"/>
      <c r="B46" s="10"/>
      <c r="C46" s="10"/>
      <c r="D46" s="16"/>
      <c r="E46" s="13" t="str">
        <f aca="false">IF($A46="","",Inputs!$B$4-$A46)</f>
        <v/>
      </c>
      <c r="F46" s="14" t="str">
        <f aca="false">IF($A46="","",INDEX('Lag Table'!$C$3:$C$11,MATCH(MIN($E46,8),'Lag Table'!$A$3:$A$11,0)))</f>
        <v/>
      </c>
      <c r="G46" s="17" t="str">
        <f aca="false">IF($A46="","",$C46/$F46)</f>
        <v/>
      </c>
      <c r="H46" s="18" t="str">
        <f aca="false">IF($A46="","",IFERROR($C46/$B46,""))</f>
        <v/>
      </c>
      <c r="I46" s="18" t="str">
        <f aca="false">IF($A46="","",IFERROR($G46/$B46,""))</f>
        <v/>
      </c>
    </row>
    <row r="47" customFormat="false" ht="15" hidden="false" customHeight="false" outlineLevel="0" collapsed="false">
      <c r="A47" s="6"/>
      <c r="B47" s="10"/>
      <c r="C47" s="10"/>
      <c r="D47" s="16"/>
      <c r="E47" s="13" t="str">
        <f aca="false">IF($A47="","",Inputs!$B$4-$A47)</f>
        <v/>
      </c>
      <c r="F47" s="14" t="str">
        <f aca="false">IF($A47="","",INDEX('Lag Table'!$C$3:$C$11,MATCH(MIN($E47,8),'Lag Table'!$A$3:$A$11,0)))</f>
        <v/>
      </c>
      <c r="G47" s="17" t="str">
        <f aca="false">IF($A47="","",$C47/$F47)</f>
        <v/>
      </c>
      <c r="H47" s="18" t="str">
        <f aca="false">IF($A47="","",IFERROR($C47/$B47,""))</f>
        <v/>
      </c>
      <c r="I47" s="18" t="str">
        <f aca="false">IF($A47="","",IFERROR($G47/$B47,""))</f>
        <v/>
      </c>
    </row>
    <row r="48" customFormat="false" ht="15" hidden="false" customHeight="false" outlineLevel="0" collapsed="false">
      <c r="A48" s="6"/>
      <c r="B48" s="10"/>
      <c r="C48" s="10"/>
      <c r="D48" s="16"/>
      <c r="E48" s="13" t="str">
        <f aca="false">IF($A48="","",Inputs!$B$4-$A48)</f>
        <v/>
      </c>
      <c r="F48" s="14" t="str">
        <f aca="false">IF($A48="","",INDEX('Lag Table'!$C$3:$C$11,MATCH(MIN($E48,8),'Lag Table'!$A$3:$A$11,0)))</f>
        <v/>
      </c>
      <c r="G48" s="17" t="str">
        <f aca="false">IF($A48="","",$C48/$F48)</f>
        <v/>
      </c>
      <c r="H48" s="18" t="str">
        <f aca="false">IF($A48="","",IFERROR($C48/$B48,""))</f>
        <v/>
      </c>
      <c r="I48" s="18" t="str">
        <f aca="false">IF($A48="","",IFERROR($G48/$B48,""))</f>
        <v/>
      </c>
    </row>
    <row r="49" customFormat="false" ht="15" hidden="false" customHeight="false" outlineLevel="0" collapsed="false">
      <c r="A49" s="6"/>
      <c r="B49" s="10"/>
      <c r="C49" s="10"/>
      <c r="D49" s="16"/>
      <c r="E49" s="13" t="str">
        <f aca="false">IF($A49="","",Inputs!$B$4-$A49)</f>
        <v/>
      </c>
      <c r="F49" s="14" t="str">
        <f aca="false">IF($A49="","",INDEX('Lag Table'!$C$3:$C$11,MATCH(MIN($E49,8),'Lag Table'!$A$3:$A$11,0)))</f>
        <v/>
      </c>
      <c r="G49" s="17" t="str">
        <f aca="false">IF($A49="","",$C49/$F49)</f>
        <v/>
      </c>
      <c r="H49" s="18" t="str">
        <f aca="false">IF($A49="","",IFERROR($C49/$B49,""))</f>
        <v/>
      </c>
      <c r="I49" s="18" t="str">
        <f aca="false">IF($A49="","",IFERROR($G49/$B49,""))</f>
        <v/>
      </c>
    </row>
    <row r="50" customFormat="false" ht="15" hidden="false" customHeight="false" outlineLevel="0" collapsed="false">
      <c r="A50" s="6"/>
      <c r="B50" s="10"/>
      <c r="C50" s="10"/>
      <c r="D50" s="16"/>
      <c r="E50" s="13" t="str">
        <f aca="false">IF($A50="","",Inputs!$B$4-$A50)</f>
        <v/>
      </c>
      <c r="F50" s="14" t="str">
        <f aca="false">IF($A50="","",INDEX('Lag Table'!$C$3:$C$11,MATCH(MIN($E50,8),'Lag Table'!$A$3:$A$11,0)))</f>
        <v/>
      </c>
      <c r="G50" s="17" t="str">
        <f aca="false">IF($A50="","",$C50/$F50)</f>
        <v/>
      </c>
      <c r="H50" s="18" t="str">
        <f aca="false">IF($A50="","",IFERROR($C50/$B50,""))</f>
        <v/>
      </c>
      <c r="I50" s="18" t="str">
        <f aca="false">IF($A50="","",IFERROR($G50/$B50,""))</f>
        <v/>
      </c>
    </row>
    <row r="51" customFormat="false" ht="15" hidden="false" customHeight="false" outlineLevel="0" collapsed="false">
      <c r="A51" s="6"/>
      <c r="B51" s="10"/>
      <c r="C51" s="10"/>
      <c r="D51" s="16"/>
      <c r="E51" s="13" t="str">
        <f aca="false">IF($A51="","",Inputs!$B$4-$A51)</f>
        <v/>
      </c>
      <c r="F51" s="14" t="str">
        <f aca="false">IF($A51="","",INDEX('Lag Table'!$C$3:$C$11,MATCH(MIN($E51,8),'Lag Table'!$A$3:$A$11,0)))</f>
        <v/>
      </c>
      <c r="G51" s="17" t="str">
        <f aca="false">IF($A51="","",$C51/$F51)</f>
        <v/>
      </c>
      <c r="H51" s="18" t="str">
        <f aca="false">IF($A51="","",IFERROR($C51/$B51,""))</f>
        <v/>
      </c>
      <c r="I51" s="18" t="str">
        <f aca="false">IF($A51="","",IFERROR($G51/$B51,""))</f>
        <v/>
      </c>
    </row>
    <row r="52" customFormat="false" ht="15" hidden="false" customHeight="false" outlineLevel="0" collapsed="false">
      <c r="A52" s="6"/>
      <c r="B52" s="10"/>
      <c r="C52" s="10"/>
      <c r="D52" s="16"/>
      <c r="E52" s="13" t="str">
        <f aca="false">IF($A52="","",Inputs!$B$4-$A52)</f>
        <v/>
      </c>
      <c r="F52" s="14" t="str">
        <f aca="false">IF($A52="","",INDEX('Lag Table'!$C$3:$C$11,MATCH(MIN($E52,8),'Lag Table'!$A$3:$A$11,0)))</f>
        <v/>
      </c>
      <c r="G52" s="17" t="str">
        <f aca="false">IF($A52="","",$C52/$F52)</f>
        <v/>
      </c>
      <c r="H52" s="18" t="str">
        <f aca="false">IF($A52="","",IFERROR($C52/$B52,""))</f>
        <v/>
      </c>
      <c r="I52" s="18" t="str">
        <f aca="false">IF($A52="","",IFERROR($G52/$B52,""))</f>
        <v/>
      </c>
    </row>
    <row r="53" customFormat="false" ht="15" hidden="false" customHeight="false" outlineLevel="0" collapsed="false">
      <c r="A53" s="6"/>
      <c r="B53" s="10"/>
      <c r="C53" s="10"/>
      <c r="D53" s="16"/>
      <c r="E53" s="13" t="str">
        <f aca="false">IF($A53="","",Inputs!$B$4-$A53)</f>
        <v/>
      </c>
      <c r="F53" s="14" t="str">
        <f aca="false">IF($A53="","",INDEX('Lag Table'!$C$3:$C$11,MATCH(MIN($E53,8),'Lag Table'!$A$3:$A$11,0)))</f>
        <v/>
      </c>
      <c r="G53" s="17" t="str">
        <f aca="false">IF($A53="","",$C53/$F53)</f>
        <v/>
      </c>
      <c r="H53" s="18" t="str">
        <f aca="false">IF($A53="","",IFERROR($C53/$B53,""))</f>
        <v/>
      </c>
      <c r="I53" s="18" t="str">
        <f aca="false">IF($A53="","",IFERROR($G53/$B53,""))</f>
        <v/>
      </c>
    </row>
    <row r="54" customFormat="false" ht="15" hidden="false" customHeight="false" outlineLevel="0" collapsed="false">
      <c r="A54" s="6"/>
      <c r="B54" s="10"/>
      <c r="C54" s="10"/>
      <c r="D54" s="16"/>
      <c r="E54" s="13" t="str">
        <f aca="false">IF($A54="","",Inputs!$B$4-$A54)</f>
        <v/>
      </c>
      <c r="F54" s="14" t="str">
        <f aca="false">IF($A54="","",INDEX('Lag Table'!$C$3:$C$11,MATCH(MIN($E54,8),'Lag Table'!$A$3:$A$11,0)))</f>
        <v/>
      </c>
      <c r="G54" s="17" t="str">
        <f aca="false">IF($A54="","",$C54/$F54)</f>
        <v/>
      </c>
      <c r="H54" s="18" t="str">
        <f aca="false">IF($A54="","",IFERROR($C54/$B54,""))</f>
        <v/>
      </c>
      <c r="I54" s="18" t="str">
        <f aca="false">IF($A54="","",IFERROR($G54/$B54,""))</f>
        <v/>
      </c>
    </row>
    <row r="55" customFormat="false" ht="15" hidden="false" customHeight="false" outlineLevel="0" collapsed="false">
      <c r="A55" s="6"/>
      <c r="B55" s="10"/>
      <c r="C55" s="10"/>
      <c r="D55" s="16"/>
      <c r="E55" s="13" t="str">
        <f aca="false">IF($A55="","",Inputs!$B$4-$A55)</f>
        <v/>
      </c>
      <c r="F55" s="14" t="str">
        <f aca="false">IF($A55="","",INDEX('Lag Table'!$C$3:$C$11,MATCH(MIN($E55,8),'Lag Table'!$A$3:$A$11,0)))</f>
        <v/>
      </c>
      <c r="G55" s="17" t="str">
        <f aca="false">IF($A55="","",$C55/$F55)</f>
        <v/>
      </c>
      <c r="H55" s="18" t="str">
        <f aca="false">IF($A55="","",IFERROR($C55/$B55,""))</f>
        <v/>
      </c>
      <c r="I55" s="18" t="str">
        <f aca="false">IF($A55="","",IFERROR($G55/$B55,""))</f>
        <v/>
      </c>
    </row>
    <row r="56" customFormat="false" ht="15" hidden="false" customHeight="false" outlineLevel="0" collapsed="false">
      <c r="A56" s="6"/>
      <c r="B56" s="10"/>
      <c r="C56" s="10"/>
      <c r="D56" s="16"/>
      <c r="E56" s="13" t="str">
        <f aca="false">IF($A56="","",Inputs!$B$4-$A56)</f>
        <v/>
      </c>
      <c r="F56" s="14" t="str">
        <f aca="false">IF($A56="","",INDEX('Lag Table'!$C$3:$C$11,MATCH(MIN($E56,8),'Lag Table'!$A$3:$A$11,0)))</f>
        <v/>
      </c>
      <c r="G56" s="17" t="str">
        <f aca="false">IF($A56="","",$C56/$F56)</f>
        <v/>
      </c>
      <c r="H56" s="18" t="str">
        <f aca="false">IF($A56="","",IFERROR($C56/$B56,""))</f>
        <v/>
      </c>
      <c r="I56" s="18" t="str">
        <f aca="false">IF($A56="","",IFERROR($G56/$B56,""))</f>
        <v/>
      </c>
    </row>
    <row r="57" customFormat="false" ht="15" hidden="false" customHeight="false" outlineLevel="0" collapsed="false">
      <c r="A57" s="6"/>
      <c r="B57" s="10"/>
      <c r="C57" s="10"/>
      <c r="D57" s="16"/>
      <c r="E57" s="13" t="str">
        <f aca="false">IF($A57="","",Inputs!$B$4-$A57)</f>
        <v/>
      </c>
      <c r="F57" s="14" t="str">
        <f aca="false">IF($A57="","",INDEX('Lag Table'!$C$3:$C$11,MATCH(MIN($E57,8),'Lag Table'!$A$3:$A$11,0)))</f>
        <v/>
      </c>
      <c r="G57" s="17" t="str">
        <f aca="false">IF($A57="","",$C57/$F57)</f>
        <v/>
      </c>
      <c r="H57" s="18" t="str">
        <f aca="false">IF($A57="","",IFERROR($C57/$B57,""))</f>
        <v/>
      </c>
      <c r="I57" s="18" t="str">
        <f aca="false">IF($A57="","",IFERROR($G57/$B57,""))</f>
        <v/>
      </c>
    </row>
    <row r="58" customFormat="false" ht="15" hidden="false" customHeight="false" outlineLevel="0" collapsed="false">
      <c r="A58" s="6"/>
      <c r="B58" s="10"/>
      <c r="C58" s="10"/>
      <c r="D58" s="16"/>
      <c r="E58" s="13" t="str">
        <f aca="false">IF($A58="","",Inputs!$B$4-$A58)</f>
        <v/>
      </c>
      <c r="F58" s="14" t="str">
        <f aca="false">IF($A58="","",INDEX('Lag Table'!$C$3:$C$11,MATCH(MIN($E58,8),'Lag Table'!$A$3:$A$11,0)))</f>
        <v/>
      </c>
      <c r="G58" s="17" t="str">
        <f aca="false">IF($A58="","",$C58/$F58)</f>
        <v/>
      </c>
      <c r="H58" s="18" t="str">
        <f aca="false">IF($A58="","",IFERROR($C58/$B58,""))</f>
        <v/>
      </c>
      <c r="I58" s="18" t="str">
        <f aca="false">IF($A58="","",IFERROR($G58/$B58,""))</f>
        <v/>
      </c>
    </row>
    <row r="59" customFormat="false" ht="15" hidden="false" customHeight="false" outlineLevel="0" collapsed="false">
      <c r="A59" s="6"/>
      <c r="B59" s="10"/>
      <c r="C59" s="10"/>
      <c r="D59" s="16"/>
      <c r="E59" s="13" t="str">
        <f aca="false">IF($A59="","",Inputs!$B$4-$A59)</f>
        <v/>
      </c>
      <c r="F59" s="14" t="str">
        <f aca="false">IF($A59="","",INDEX('Lag Table'!$C$3:$C$11,MATCH(MIN($E59,8),'Lag Table'!$A$3:$A$11,0)))</f>
        <v/>
      </c>
      <c r="G59" s="17" t="str">
        <f aca="false">IF($A59="","",$C59/$F59)</f>
        <v/>
      </c>
      <c r="H59" s="18" t="str">
        <f aca="false">IF($A59="","",IFERROR($C59/$B59,""))</f>
        <v/>
      </c>
      <c r="I59" s="18" t="str">
        <f aca="false">IF($A59="","",IFERROR($G59/$B59,""))</f>
        <v/>
      </c>
    </row>
    <row r="60" customFormat="false" ht="15" hidden="false" customHeight="false" outlineLevel="0" collapsed="false">
      <c r="A60" s="6"/>
      <c r="B60" s="10"/>
      <c r="C60" s="10"/>
      <c r="D60" s="16"/>
      <c r="E60" s="13" t="str">
        <f aca="false">IF($A60="","",Inputs!$B$4-$A60)</f>
        <v/>
      </c>
      <c r="F60" s="14" t="str">
        <f aca="false">IF($A60="","",INDEX('Lag Table'!$C$3:$C$11,MATCH(MIN($E60,8),'Lag Table'!$A$3:$A$11,0)))</f>
        <v/>
      </c>
      <c r="G60" s="17" t="str">
        <f aca="false">IF($A60="","",$C60/$F60)</f>
        <v/>
      </c>
      <c r="H60" s="18" t="str">
        <f aca="false">IF($A60="","",IFERROR($C60/$B60,""))</f>
        <v/>
      </c>
      <c r="I60" s="18" t="str">
        <f aca="false">IF($A60="","",IFERROR($G60/$B60,""))</f>
        <v/>
      </c>
    </row>
    <row r="61" customFormat="false" ht="15" hidden="false" customHeight="false" outlineLevel="0" collapsed="false">
      <c r="A61" s="6"/>
      <c r="B61" s="10"/>
      <c r="C61" s="10"/>
      <c r="D61" s="16"/>
      <c r="E61" s="13" t="str">
        <f aca="false">IF($A61="","",Inputs!$B$4-$A61)</f>
        <v/>
      </c>
      <c r="F61" s="14" t="str">
        <f aca="false">IF($A61="","",INDEX('Lag Table'!$C$3:$C$11,MATCH(MIN($E61,8),'Lag Table'!$A$3:$A$11,0)))</f>
        <v/>
      </c>
      <c r="G61" s="17" t="str">
        <f aca="false">IF($A61="","",$C61/$F61)</f>
        <v/>
      </c>
      <c r="H61" s="18" t="str">
        <f aca="false">IF($A61="","",IFERROR($C61/$B61,""))</f>
        <v/>
      </c>
      <c r="I61" s="18" t="str">
        <f aca="false">IF($A61="","",IFERROR($G61/$B61,""))</f>
        <v/>
      </c>
    </row>
    <row r="62" customFormat="false" ht="15" hidden="false" customHeight="false" outlineLevel="0" collapsed="false">
      <c r="A62" s="6"/>
      <c r="B62" s="10"/>
      <c r="C62" s="10"/>
      <c r="D62" s="16"/>
      <c r="E62" s="13" t="str">
        <f aca="false">IF($A62="","",Inputs!$B$4-$A62)</f>
        <v/>
      </c>
      <c r="F62" s="14" t="str">
        <f aca="false">IF($A62="","",INDEX('Lag Table'!$C$3:$C$11,MATCH(MIN($E62,8),'Lag Table'!$A$3:$A$11,0)))</f>
        <v/>
      </c>
      <c r="G62" s="17" t="str">
        <f aca="false">IF($A62="","",$C62/$F62)</f>
        <v/>
      </c>
      <c r="H62" s="18" t="str">
        <f aca="false">IF($A62="","",IFERROR($C62/$B62,""))</f>
        <v/>
      </c>
      <c r="I62" s="18" t="str">
        <f aca="false">IF($A62="","",IFERROR($G62/$B62,""))</f>
        <v/>
      </c>
    </row>
    <row r="63" customFormat="false" ht="15" hidden="false" customHeight="false" outlineLevel="0" collapsed="false">
      <c r="A63" s="6"/>
      <c r="B63" s="10"/>
      <c r="C63" s="10"/>
      <c r="D63" s="16"/>
      <c r="E63" s="13" t="str">
        <f aca="false">IF($A63="","",Inputs!$B$4-$A63)</f>
        <v/>
      </c>
      <c r="F63" s="14" t="str">
        <f aca="false">IF($A63="","",INDEX('Lag Table'!$C$3:$C$11,MATCH(MIN($E63,8),'Lag Table'!$A$3:$A$11,0)))</f>
        <v/>
      </c>
      <c r="G63" s="17" t="str">
        <f aca="false">IF($A63="","",$C63/$F63)</f>
        <v/>
      </c>
      <c r="H63" s="18" t="str">
        <f aca="false">IF($A63="","",IFERROR($C63/$B63,""))</f>
        <v/>
      </c>
      <c r="I63" s="18" t="str">
        <f aca="false">IF($A63="","",IFERROR($G63/$B63,""))</f>
        <v/>
      </c>
    </row>
    <row r="64" customFormat="false" ht="15" hidden="false" customHeight="false" outlineLevel="0" collapsed="false">
      <c r="A64" s="6"/>
      <c r="B64" s="10"/>
      <c r="C64" s="10"/>
      <c r="D64" s="16"/>
      <c r="E64" s="13" t="str">
        <f aca="false">IF($A64="","",Inputs!$B$4-$A64)</f>
        <v/>
      </c>
      <c r="F64" s="14" t="str">
        <f aca="false">IF($A64="","",INDEX('Lag Table'!$C$3:$C$11,MATCH(MIN($E64,8),'Lag Table'!$A$3:$A$11,0)))</f>
        <v/>
      </c>
      <c r="G64" s="17" t="str">
        <f aca="false">IF($A64="","",$C64/$F64)</f>
        <v/>
      </c>
      <c r="H64" s="18" t="str">
        <f aca="false">IF($A64="","",IFERROR($C64/$B64,""))</f>
        <v/>
      </c>
      <c r="I64" s="18" t="str">
        <f aca="false">IF($A64="","",IFERROR($G64/$B64,""))</f>
        <v/>
      </c>
    </row>
    <row r="65" customFormat="false" ht="15" hidden="false" customHeight="false" outlineLevel="0" collapsed="false">
      <c r="A65" s="6"/>
      <c r="B65" s="10"/>
      <c r="C65" s="10"/>
      <c r="D65" s="16"/>
      <c r="E65" s="13" t="str">
        <f aca="false">IF($A65="","",Inputs!$B$4-$A65)</f>
        <v/>
      </c>
      <c r="F65" s="14" t="str">
        <f aca="false">IF($A65="","",INDEX('Lag Table'!$C$3:$C$11,MATCH(MIN($E65,8),'Lag Table'!$A$3:$A$11,0)))</f>
        <v/>
      </c>
      <c r="G65" s="17" t="str">
        <f aca="false">IF($A65="","",$C65/$F65)</f>
        <v/>
      </c>
      <c r="H65" s="18" t="str">
        <f aca="false">IF($A65="","",IFERROR($C65/$B65,""))</f>
        <v/>
      </c>
      <c r="I65" s="18" t="str">
        <f aca="false">IF($A65="","",IFERROR($G65/$B65,""))</f>
        <v/>
      </c>
    </row>
    <row r="66" customFormat="false" ht="15" hidden="false" customHeight="false" outlineLevel="0" collapsed="false">
      <c r="A66" s="6"/>
      <c r="B66" s="10"/>
      <c r="C66" s="10"/>
      <c r="D66" s="16"/>
      <c r="E66" s="13" t="str">
        <f aca="false">IF($A66="","",Inputs!$B$4-$A66)</f>
        <v/>
      </c>
      <c r="F66" s="14" t="str">
        <f aca="false">IF($A66="","",INDEX('Lag Table'!$C$3:$C$11,MATCH(MIN($E66,8),'Lag Table'!$A$3:$A$11,0)))</f>
        <v/>
      </c>
      <c r="G66" s="17" t="str">
        <f aca="false">IF($A66="","",$C66/$F66)</f>
        <v/>
      </c>
      <c r="H66" s="18" t="str">
        <f aca="false">IF($A66="","",IFERROR($C66/$B66,""))</f>
        <v/>
      </c>
      <c r="I66" s="18" t="str">
        <f aca="false">IF($A66="","",IFERROR($G66/$B66,""))</f>
        <v/>
      </c>
    </row>
    <row r="67" customFormat="false" ht="15" hidden="false" customHeight="false" outlineLevel="0" collapsed="false">
      <c r="A67" s="6"/>
      <c r="B67" s="10"/>
      <c r="C67" s="10"/>
      <c r="D67" s="16"/>
      <c r="E67" s="13" t="str">
        <f aca="false">IF($A67="","",Inputs!$B$4-$A67)</f>
        <v/>
      </c>
      <c r="F67" s="14" t="str">
        <f aca="false">IF($A67="","",INDEX('Lag Table'!$C$3:$C$11,MATCH(MIN($E67,8),'Lag Table'!$A$3:$A$11,0)))</f>
        <v/>
      </c>
      <c r="G67" s="17" t="str">
        <f aca="false">IF($A67="","",$C67/$F67)</f>
        <v/>
      </c>
      <c r="H67" s="18" t="str">
        <f aca="false">IF($A67="","",IFERROR($C67/$B67,""))</f>
        <v/>
      </c>
      <c r="I67" s="18" t="str">
        <f aca="false">IF($A67="","",IFERROR($G67/$B67,""))</f>
        <v/>
      </c>
    </row>
    <row r="68" customFormat="false" ht="15" hidden="false" customHeight="false" outlineLevel="0" collapsed="false">
      <c r="A68" s="6"/>
      <c r="B68" s="10"/>
      <c r="C68" s="10"/>
      <c r="D68" s="16"/>
      <c r="E68" s="13" t="str">
        <f aca="false">IF($A68="","",Inputs!$B$4-$A68)</f>
        <v/>
      </c>
      <c r="F68" s="14" t="str">
        <f aca="false">IF($A68="","",INDEX('Lag Table'!$C$3:$C$11,MATCH(MIN($E68,8),'Lag Table'!$A$3:$A$11,0)))</f>
        <v/>
      </c>
      <c r="G68" s="17" t="str">
        <f aca="false">IF($A68="","",$C68/$F68)</f>
        <v/>
      </c>
      <c r="H68" s="18" t="str">
        <f aca="false">IF($A68="","",IFERROR($C68/$B68,""))</f>
        <v/>
      </c>
      <c r="I68" s="18" t="str">
        <f aca="false">IF($A68="","",IFERROR($G68/$B68,""))</f>
        <v/>
      </c>
    </row>
    <row r="69" customFormat="false" ht="15" hidden="false" customHeight="false" outlineLevel="0" collapsed="false">
      <c r="A69" s="6"/>
      <c r="B69" s="10"/>
      <c r="C69" s="10"/>
      <c r="D69" s="16"/>
      <c r="E69" s="13" t="str">
        <f aca="false">IF($A69="","",Inputs!$B$4-$A69)</f>
        <v/>
      </c>
      <c r="F69" s="14" t="str">
        <f aca="false">IF($A69="","",INDEX('Lag Table'!$C$3:$C$11,MATCH(MIN($E69,8),'Lag Table'!$A$3:$A$11,0)))</f>
        <v/>
      </c>
      <c r="G69" s="17" t="str">
        <f aca="false">IF($A69="","",$C69/$F69)</f>
        <v/>
      </c>
      <c r="H69" s="18" t="str">
        <f aca="false">IF($A69="","",IFERROR($C69/$B69,""))</f>
        <v/>
      </c>
      <c r="I69" s="18" t="str">
        <f aca="false">IF($A69="","",IFERROR($G69/$B69,""))</f>
        <v/>
      </c>
    </row>
    <row r="70" customFormat="false" ht="15" hidden="false" customHeight="false" outlineLevel="0" collapsed="false">
      <c r="A70" s="6"/>
      <c r="B70" s="10"/>
      <c r="C70" s="10"/>
      <c r="D70" s="16"/>
      <c r="E70" s="13" t="str">
        <f aca="false">IF($A70="","",Inputs!$B$4-$A70)</f>
        <v/>
      </c>
      <c r="F70" s="14" t="str">
        <f aca="false">IF($A70="","",INDEX('Lag Table'!$C$3:$C$11,MATCH(MIN($E70,8),'Lag Table'!$A$3:$A$11,0)))</f>
        <v/>
      </c>
      <c r="G70" s="17" t="str">
        <f aca="false">IF($A70="","",$C70/$F70)</f>
        <v/>
      </c>
      <c r="H70" s="18" t="str">
        <f aca="false">IF($A70="","",IFERROR($C70/$B70,""))</f>
        <v/>
      </c>
      <c r="I70" s="18" t="str">
        <f aca="false">IF($A70="","",IFERROR($G70/$B70,""))</f>
        <v/>
      </c>
    </row>
    <row r="71" customFormat="false" ht="15" hidden="false" customHeight="false" outlineLevel="0" collapsed="false">
      <c r="A71" s="6"/>
      <c r="B71" s="10"/>
      <c r="C71" s="10"/>
      <c r="D71" s="16"/>
      <c r="E71" s="13" t="str">
        <f aca="false">IF($A71="","",Inputs!$B$4-$A71)</f>
        <v/>
      </c>
      <c r="F71" s="14" t="str">
        <f aca="false">IF($A71="","",INDEX('Lag Table'!$C$3:$C$11,MATCH(MIN($E71,8),'Lag Table'!$A$3:$A$11,0)))</f>
        <v/>
      </c>
      <c r="G71" s="17" t="str">
        <f aca="false">IF($A71="","",$C71/$F71)</f>
        <v/>
      </c>
      <c r="H71" s="18" t="str">
        <f aca="false">IF($A71="","",IFERROR($C71/$B71,""))</f>
        <v/>
      </c>
      <c r="I71" s="18" t="str">
        <f aca="false">IF($A71="","",IFERROR($G71/$B71,""))</f>
        <v/>
      </c>
    </row>
    <row r="72" customFormat="false" ht="15" hidden="false" customHeight="false" outlineLevel="0" collapsed="false">
      <c r="A72" s="6"/>
      <c r="B72" s="10"/>
      <c r="C72" s="10"/>
      <c r="D72" s="16"/>
      <c r="E72" s="13" t="str">
        <f aca="false">IF($A72="","",Inputs!$B$4-$A72)</f>
        <v/>
      </c>
      <c r="F72" s="14" t="str">
        <f aca="false">IF($A72="","",INDEX('Lag Table'!$C$3:$C$11,MATCH(MIN($E72,8),'Lag Table'!$A$3:$A$11,0)))</f>
        <v/>
      </c>
      <c r="G72" s="17" t="str">
        <f aca="false">IF($A72="","",$C72/$F72)</f>
        <v/>
      </c>
      <c r="H72" s="18" t="str">
        <f aca="false">IF($A72="","",IFERROR($C72/$B72,""))</f>
        <v/>
      </c>
      <c r="I72" s="18" t="str">
        <f aca="false">IF($A72="","",IFERROR($G72/$B72,""))</f>
        <v/>
      </c>
    </row>
    <row r="73" customFormat="false" ht="15" hidden="false" customHeight="false" outlineLevel="0" collapsed="false">
      <c r="A73" s="6"/>
      <c r="B73" s="10"/>
      <c r="C73" s="10"/>
      <c r="D73" s="16"/>
      <c r="E73" s="13" t="str">
        <f aca="false">IF($A73="","",Inputs!$B$4-$A73)</f>
        <v/>
      </c>
      <c r="F73" s="14" t="str">
        <f aca="false">IF($A73="","",INDEX('Lag Table'!$C$3:$C$11,MATCH(MIN($E73,8),'Lag Table'!$A$3:$A$11,0)))</f>
        <v/>
      </c>
      <c r="G73" s="17" t="str">
        <f aca="false">IF($A73="","",$C73/$F73)</f>
        <v/>
      </c>
      <c r="H73" s="18" t="str">
        <f aca="false">IF($A73="","",IFERROR($C73/$B73,""))</f>
        <v/>
      </c>
      <c r="I73" s="18" t="str">
        <f aca="false">IF($A73="","",IFERROR($G73/$B73,""))</f>
        <v/>
      </c>
    </row>
    <row r="74" customFormat="false" ht="15" hidden="false" customHeight="false" outlineLevel="0" collapsed="false">
      <c r="A74" s="6"/>
      <c r="B74" s="10"/>
      <c r="C74" s="10"/>
      <c r="D74" s="16"/>
      <c r="E74" s="13" t="str">
        <f aca="false">IF($A74="","",Inputs!$B$4-$A74)</f>
        <v/>
      </c>
      <c r="F74" s="14" t="str">
        <f aca="false">IF($A74="","",INDEX('Lag Table'!$C$3:$C$11,MATCH(MIN($E74,8),'Lag Table'!$A$3:$A$11,0)))</f>
        <v/>
      </c>
      <c r="G74" s="17" t="str">
        <f aca="false">IF($A74="","",$C74/$F74)</f>
        <v/>
      </c>
      <c r="H74" s="18" t="str">
        <f aca="false">IF($A74="","",IFERROR($C74/$B74,""))</f>
        <v/>
      </c>
      <c r="I74" s="18" t="str">
        <f aca="false">IF($A74="","",IFERROR($G74/$B74,""))</f>
        <v/>
      </c>
    </row>
    <row r="75" customFormat="false" ht="15" hidden="false" customHeight="false" outlineLevel="0" collapsed="false">
      <c r="A75" s="6"/>
      <c r="B75" s="10"/>
      <c r="C75" s="10"/>
      <c r="D75" s="16"/>
      <c r="E75" s="13" t="str">
        <f aca="false">IF($A75="","",Inputs!$B$4-$A75)</f>
        <v/>
      </c>
      <c r="F75" s="14" t="str">
        <f aca="false">IF($A75="","",INDEX('Lag Table'!$C$3:$C$11,MATCH(MIN($E75,8),'Lag Table'!$A$3:$A$11,0)))</f>
        <v/>
      </c>
      <c r="G75" s="17" t="str">
        <f aca="false">IF($A75="","",$C75/$F75)</f>
        <v/>
      </c>
      <c r="H75" s="18" t="str">
        <f aca="false">IF($A75="","",IFERROR($C75/$B75,""))</f>
        <v/>
      </c>
      <c r="I75" s="18" t="str">
        <f aca="false">IF($A75="","",IFERROR($G75/$B75,""))</f>
        <v/>
      </c>
    </row>
    <row r="76" customFormat="false" ht="15" hidden="false" customHeight="false" outlineLevel="0" collapsed="false">
      <c r="A76" s="6"/>
      <c r="B76" s="10"/>
      <c r="C76" s="10"/>
      <c r="D76" s="16"/>
      <c r="E76" s="13" t="str">
        <f aca="false">IF($A76="","",Inputs!$B$4-$A76)</f>
        <v/>
      </c>
      <c r="F76" s="14" t="str">
        <f aca="false">IF($A76="","",INDEX('Lag Table'!$C$3:$C$11,MATCH(MIN($E76,8),'Lag Table'!$A$3:$A$11,0)))</f>
        <v/>
      </c>
      <c r="G76" s="17" t="str">
        <f aca="false">IF($A76="","",$C76/$F76)</f>
        <v/>
      </c>
      <c r="H76" s="18" t="str">
        <f aca="false">IF($A76="","",IFERROR($C76/$B76,""))</f>
        <v/>
      </c>
      <c r="I76" s="18" t="str">
        <f aca="false">IF($A76="","",IFERROR($G76/$B76,""))</f>
        <v/>
      </c>
    </row>
    <row r="77" customFormat="false" ht="15" hidden="false" customHeight="false" outlineLevel="0" collapsed="false">
      <c r="A77" s="6"/>
      <c r="B77" s="10"/>
      <c r="C77" s="10"/>
      <c r="D77" s="16"/>
      <c r="E77" s="13" t="str">
        <f aca="false">IF($A77="","",Inputs!$B$4-$A77)</f>
        <v/>
      </c>
      <c r="F77" s="14" t="str">
        <f aca="false">IF($A77="","",INDEX('Lag Table'!$C$3:$C$11,MATCH(MIN($E77,8),'Lag Table'!$A$3:$A$11,0)))</f>
        <v/>
      </c>
      <c r="G77" s="17" t="str">
        <f aca="false">IF($A77="","",$C77/$F77)</f>
        <v/>
      </c>
      <c r="H77" s="18" t="str">
        <f aca="false">IF($A77="","",IFERROR($C77/$B77,""))</f>
        <v/>
      </c>
      <c r="I77" s="18" t="str">
        <f aca="false">IF($A77="","",IFERROR($G77/$B77,""))</f>
        <v/>
      </c>
    </row>
    <row r="78" customFormat="false" ht="15" hidden="false" customHeight="false" outlineLevel="0" collapsed="false">
      <c r="A78" s="6"/>
      <c r="B78" s="10"/>
      <c r="C78" s="10"/>
      <c r="D78" s="16"/>
      <c r="E78" s="13" t="str">
        <f aca="false">IF($A78="","",Inputs!$B$4-$A78)</f>
        <v/>
      </c>
      <c r="F78" s="14" t="str">
        <f aca="false">IF($A78="","",INDEX('Lag Table'!$C$3:$C$11,MATCH(MIN($E78,8),'Lag Table'!$A$3:$A$11,0)))</f>
        <v/>
      </c>
      <c r="G78" s="17" t="str">
        <f aca="false">IF($A78="","",$C78/$F78)</f>
        <v/>
      </c>
      <c r="H78" s="18" t="str">
        <f aca="false">IF($A78="","",IFERROR($C78/$B78,""))</f>
        <v/>
      </c>
      <c r="I78" s="18" t="str">
        <f aca="false">IF($A78="","",IFERROR($G78/$B78,""))</f>
        <v/>
      </c>
    </row>
    <row r="79" customFormat="false" ht="15" hidden="false" customHeight="false" outlineLevel="0" collapsed="false">
      <c r="A79" s="6"/>
      <c r="B79" s="10"/>
      <c r="C79" s="10"/>
      <c r="D79" s="16"/>
      <c r="E79" s="13" t="str">
        <f aca="false">IF($A79="","",Inputs!$B$4-$A79)</f>
        <v/>
      </c>
      <c r="F79" s="14" t="str">
        <f aca="false">IF($A79="","",INDEX('Lag Table'!$C$3:$C$11,MATCH(MIN($E79,8),'Lag Table'!$A$3:$A$11,0)))</f>
        <v/>
      </c>
      <c r="G79" s="17" t="str">
        <f aca="false">IF($A79="","",$C79/$F79)</f>
        <v/>
      </c>
      <c r="H79" s="18" t="str">
        <f aca="false">IF($A79="","",IFERROR($C79/$B79,""))</f>
        <v/>
      </c>
      <c r="I79" s="18" t="str">
        <f aca="false">IF($A79="","",IFERROR($G79/$B79,""))</f>
        <v/>
      </c>
    </row>
    <row r="80" customFormat="false" ht="15" hidden="false" customHeight="false" outlineLevel="0" collapsed="false">
      <c r="A80" s="6"/>
      <c r="B80" s="10"/>
      <c r="C80" s="10"/>
      <c r="D80" s="16"/>
      <c r="E80" s="13" t="str">
        <f aca="false">IF($A80="","",Inputs!$B$4-$A80)</f>
        <v/>
      </c>
      <c r="F80" s="14" t="str">
        <f aca="false">IF($A80="","",INDEX('Lag Table'!$C$3:$C$11,MATCH(MIN($E80,8),'Lag Table'!$A$3:$A$11,0)))</f>
        <v/>
      </c>
      <c r="G80" s="17" t="str">
        <f aca="false">IF($A80="","",$C80/$F80)</f>
        <v/>
      </c>
      <c r="H80" s="18" t="str">
        <f aca="false">IF($A80="","",IFERROR($C80/$B80,""))</f>
        <v/>
      </c>
      <c r="I80" s="18" t="str">
        <f aca="false">IF($A80="","",IFERROR($G80/$B80,""))</f>
        <v/>
      </c>
    </row>
    <row r="81" customFormat="false" ht="15" hidden="false" customHeight="false" outlineLevel="0" collapsed="false">
      <c r="A81" s="6"/>
      <c r="B81" s="10"/>
      <c r="C81" s="10"/>
      <c r="D81" s="16"/>
      <c r="E81" s="13" t="str">
        <f aca="false">IF($A81="","",Inputs!$B$4-$A81)</f>
        <v/>
      </c>
      <c r="F81" s="14" t="str">
        <f aca="false">IF($A81="","",INDEX('Lag Table'!$C$3:$C$11,MATCH(MIN($E81,8),'Lag Table'!$A$3:$A$11,0)))</f>
        <v/>
      </c>
      <c r="G81" s="17" t="str">
        <f aca="false">IF($A81="","",$C81/$F81)</f>
        <v/>
      </c>
      <c r="H81" s="18" t="str">
        <f aca="false">IF($A81="","",IFERROR($C81/$B81,""))</f>
        <v/>
      </c>
      <c r="I81" s="18" t="str">
        <f aca="false">IF($A81="","",IFERROR($G81/$B81,""))</f>
        <v/>
      </c>
    </row>
    <row r="82" customFormat="false" ht="15" hidden="false" customHeight="false" outlineLevel="0" collapsed="false">
      <c r="A82" s="6"/>
      <c r="B82" s="10"/>
      <c r="C82" s="10"/>
      <c r="D82" s="16"/>
      <c r="E82" s="13" t="str">
        <f aca="false">IF($A82="","",Inputs!$B$4-$A82)</f>
        <v/>
      </c>
      <c r="F82" s="14" t="str">
        <f aca="false">IF($A82="","",INDEX('Lag Table'!$C$3:$C$11,MATCH(MIN($E82,8),'Lag Table'!$A$3:$A$11,0)))</f>
        <v/>
      </c>
      <c r="G82" s="17" t="str">
        <f aca="false">IF($A82="","",$C82/$F82)</f>
        <v/>
      </c>
      <c r="H82" s="18" t="str">
        <f aca="false">IF($A82="","",IFERROR($C82/$B82,""))</f>
        <v/>
      </c>
      <c r="I82" s="18" t="str">
        <f aca="false">IF($A82="","",IFERROR($G82/$B82,""))</f>
        <v/>
      </c>
    </row>
    <row r="83" customFormat="false" ht="15" hidden="false" customHeight="false" outlineLevel="0" collapsed="false">
      <c r="A83" s="6"/>
      <c r="B83" s="10"/>
      <c r="C83" s="10"/>
      <c r="D83" s="16"/>
      <c r="E83" s="13" t="str">
        <f aca="false">IF($A83="","",Inputs!$B$4-$A83)</f>
        <v/>
      </c>
      <c r="F83" s="14" t="str">
        <f aca="false">IF($A83="","",INDEX('Lag Table'!$C$3:$C$11,MATCH(MIN($E83,8),'Lag Table'!$A$3:$A$11,0)))</f>
        <v/>
      </c>
      <c r="G83" s="17" t="str">
        <f aca="false">IF($A83="","",$C83/$F83)</f>
        <v/>
      </c>
      <c r="H83" s="18" t="str">
        <f aca="false">IF($A83="","",IFERROR($C83/$B83,""))</f>
        <v/>
      </c>
      <c r="I83" s="18" t="str">
        <f aca="false">IF($A83="","",IFERROR($G83/$B83,""))</f>
        <v/>
      </c>
    </row>
    <row r="84" customFormat="false" ht="15" hidden="false" customHeight="false" outlineLevel="0" collapsed="false">
      <c r="A84" s="6"/>
      <c r="B84" s="10"/>
      <c r="C84" s="10"/>
      <c r="D84" s="16"/>
      <c r="E84" s="13" t="str">
        <f aca="false">IF($A84="","",Inputs!$B$4-$A84)</f>
        <v/>
      </c>
      <c r="F84" s="14" t="str">
        <f aca="false">IF($A84="","",INDEX('Lag Table'!$C$3:$C$11,MATCH(MIN($E84,8),'Lag Table'!$A$3:$A$11,0)))</f>
        <v/>
      </c>
      <c r="G84" s="17" t="str">
        <f aca="false">IF($A84="","",$C84/$F84)</f>
        <v/>
      </c>
      <c r="H84" s="18" t="str">
        <f aca="false">IF($A84="","",IFERROR($C84/$B84,""))</f>
        <v/>
      </c>
      <c r="I84" s="18" t="str">
        <f aca="false">IF($A84="","",IFERROR($G84/$B84,""))</f>
        <v/>
      </c>
    </row>
    <row r="85" customFormat="false" ht="15" hidden="false" customHeight="false" outlineLevel="0" collapsed="false">
      <c r="A85" s="6"/>
      <c r="B85" s="10"/>
      <c r="C85" s="10"/>
      <c r="D85" s="16"/>
      <c r="E85" s="13" t="str">
        <f aca="false">IF($A85="","",Inputs!$B$4-$A85)</f>
        <v/>
      </c>
      <c r="F85" s="14" t="str">
        <f aca="false">IF($A85="","",INDEX('Lag Table'!$C$3:$C$11,MATCH(MIN($E85,8),'Lag Table'!$A$3:$A$11,0)))</f>
        <v/>
      </c>
      <c r="G85" s="17" t="str">
        <f aca="false">IF($A85="","",$C85/$F85)</f>
        <v/>
      </c>
      <c r="H85" s="18" t="str">
        <f aca="false">IF($A85="","",IFERROR($C85/$B85,""))</f>
        <v/>
      </c>
      <c r="I85" s="18" t="str">
        <f aca="false">IF($A85="","",IFERROR($G85/$B85,""))</f>
        <v/>
      </c>
    </row>
    <row r="86" customFormat="false" ht="15" hidden="false" customHeight="false" outlineLevel="0" collapsed="false">
      <c r="A86" s="6"/>
      <c r="B86" s="10"/>
      <c r="C86" s="10"/>
      <c r="D86" s="16"/>
      <c r="E86" s="13" t="str">
        <f aca="false">IF($A86="","",Inputs!$B$4-$A86)</f>
        <v/>
      </c>
      <c r="F86" s="14" t="str">
        <f aca="false">IF($A86="","",INDEX('Lag Table'!$C$3:$C$11,MATCH(MIN($E86,8),'Lag Table'!$A$3:$A$11,0)))</f>
        <v/>
      </c>
      <c r="G86" s="17" t="str">
        <f aca="false">IF($A86="","",$C86/$F86)</f>
        <v/>
      </c>
      <c r="H86" s="18" t="str">
        <f aca="false">IF($A86="","",IFERROR($C86/$B86,""))</f>
        <v/>
      </c>
      <c r="I86" s="18" t="str">
        <f aca="false">IF($A86="","",IFERROR($G86/$B86,""))</f>
        <v/>
      </c>
    </row>
    <row r="87" customFormat="false" ht="15" hidden="false" customHeight="false" outlineLevel="0" collapsed="false">
      <c r="A87" s="6"/>
      <c r="B87" s="10"/>
      <c r="C87" s="10"/>
      <c r="D87" s="16"/>
      <c r="E87" s="13" t="str">
        <f aca="false">IF($A87="","",Inputs!$B$4-$A87)</f>
        <v/>
      </c>
      <c r="F87" s="14" t="str">
        <f aca="false">IF($A87="","",INDEX('Lag Table'!$C$3:$C$11,MATCH(MIN($E87,8),'Lag Table'!$A$3:$A$11,0)))</f>
        <v/>
      </c>
      <c r="G87" s="17" t="str">
        <f aca="false">IF($A87="","",$C87/$F87)</f>
        <v/>
      </c>
      <c r="H87" s="18" t="str">
        <f aca="false">IF($A87="","",IFERROR($C87/$B87,""))</f>
        <v/>
      </c>
      <c r="I87" s="18" t="str">
        <f aca="false">IF($A87="","",IFERROR($G87/$B87,""))</f>
        <v/>
      </c>
    </row>
    <row r="88" customFormat="false" ht="15" hidden="false" customHeight="false" outlineLevel="0" collapsed="false">
      <c r="A88" s="6"/>
      <c r="B88" s="10"/>
      <c r="C88" s="10"/>
      <c r="D88" s="16"/>
      <c r="E88" s="13" t="str">
        <f aca="false">IF($A88="","",Inputs!$B$4-$A88)</f>
        <v/>
      </c>
      <c r="F88" s="14" t="str">
        <f aca="false">IF($A88="","",INDEX('Lag Table'!$C$3:$C$11,MATCH(MIN($E88,8),'Lag Table'!$A$3:$A$11,0)))</f>
        <v/>
      </c>
      <c r="G88" s="17" t="str">
        <f aca="false">IF($A88="","",$C88/$F88)</f>
        <v/>
      </c>
      <c r="H88" s="18" t="str">
        <f aca="false">IF($A88="","",IFERROR($C88/$B88,""))</f>
        <v/>
      </c>
      <c r="I88" s="18" t="str">
        <f aca="false">IF($A88="","",IFERROR($G88/$B88,""))</f>
        <v/>
      </c>
    </row>
    <row r="89" customFormat="false" ht="15" hidden="false" customHeight="false" outlineLevel="0" collapsed="false">
      <c r="A89" s="6"/>
      <c r="B89" s="10"/>
      <c r="C89" s="10"/>
      <c r="D89" s="16"/>
      <c r="E89" s="13" t="str">
        <f aca="false">IF($A89="","",Inputs!$B$4-$A89)</f>
        <v/>
      </c>
      <c r="F89" s="14" t="str">
        <f aca="false">IF($A89="","",INDEX('Lag Table'!$C$3:$C$11,MATCH(MIN($E89,8),'Lag Table'!$A$3:$A$11,0)))</f>
        <v/>
      </c>
      <c r="G89" s="17" t="str">
        <f aca="false">IF($A89="","",$C89/$F89)</f>
        <v/>
      </c>
      <c r="H89" s="18" t="str">
        <f aca="false">IF($A89="","",IFERROR($C89/$B89,""))</f>
        <v/>
      </c>
      <c r="I89" s="18" t="str">
        <f aca="false">IF($A89="","",IFERROR($G89/$B89,""))</f>
        <v/>
      </c>
    </row>
    <row r="90" customFormat="false" ht="15" hidden="false" customHeight="false" outlineLevel="0" collapsed="false">
      <c r="A90" s="6"/>
      <c r="B90" s="10"/>
      <c r="C90" s="10"/>
      <c r="D90" s="16"/>
      <c r="E90" s="13" t="str">
        <f aca="false">IF($A90="","",Inputs!$B$4-$A90)</f>
        <v/>
      </c>
      <c r="F90" s="14" t="str">
        <f aca="false">IF($A90="","",INDEX('Lag Table'!$C$3:$C$11,MATCH(MIN($E90,8),'Lag Table'!$A$3:$A$11,0)))</f>
        <v/>
      </c>
      <c r="G90" s="17" t="str">
        <f aca="false">IF($A90="","",$C90/$F90)</f>
        <v/>
      </c>
      <c r="H90" s="18" t="str">
        <f aca="false">IF($A90="","",IFERROR($C90/$B90,""))</f>
        <v/>
      </c>
      <c r="I90" s="18" t="str">
        <f aca="false">IF($A90="","",IFERROR($G90/$B90,""))</f>
        <v/>
      </c>
    </row>
    <row r="91" customFormat="false" ht="15" hidden="false" customHeight="false" outlineLevel="0" collapsed="false">
      <c r="A91" s="6"/>
      <c r="B91" s="10"/>
      <c r="C91" s="10"/>
      <c r="D91" s="16"/>
      <c r="E91" s="13" t="str">
        <f aca="false">IF($A91="","",Inputs!$B$4-$A91)</f>
        <v/>
      </c>
      <c r="F91" s="14" t="str">
        <f aca="false">IF($A91="","",INDEX('Lag Table'!$C$3:$C$11,MATCH(MIN($E91,8),'Lag Table'!$A$3:$A$11,0)))</f>
        <v/>
      </c>
      <c r="G91" s="17" t="str">
        <f aca="false">IF($A91="","",$C91/$F91)</f>
        <v/>
      </c>
      <c r="H91" s="18" t="str">
        <f aca="false">IF($A91="","",IFERROR($C91/$B91,""))</f>
        <v/>
      </c>
      <c r="I91" s="18" t="str">
        <f aca="false">IF($A91="","",IFERROR($G91/$B91,""))</f>
        <v/>
      </c>
    </row>
    <row r="92" customFormat="false" ht="15" hidden="false" customHeight="false" outlineLevel="0" collapsed="false">
      <c r="A92" s="6"/>
      <c r="B92" s="10"/>
      <c r="C92" s="10"/>
      <c r="D92" s="16"/>
      <c r="E92" s="13" t="str">
        <f aca="false">IF($A92="","",Inputs!$B$4-$A92)</f>
        <v/>
      </c>
      <c r="F92" s="14" t="str">
        <f aca="false">IF($A92="","",INDEX('Lag Table'!$C$3:$C$11,MATCH(MIN($E92,8),'Lag Table'!$A$3:$A$11,0)))</f>
        <v/>
      </c>
      <c r="G92" s="17" t="str">
        <f aca="false">IF($A92="","",$C92/$F92)</f>
        <v/>
      </c>
      <c r="H92" s="18" t="str">
        <f aca="false">IF($A92="","",IFERROR($C92/$B92,""))</f>
        <v/>
      </c>
      <c r="I92" s="18" t="str">
        <f aca="false">IF($A92="","",IFERROR($G92/$B92,""))</f>
        <v/>
      </c>
    </row>
    <row r="93" customFormat="false" ht="15" hidden="false" customHeight="false" outlineLevel="0" collapsed="false">
      <c r="A93" s="6"/>
      <c r="B93" s="10"/>
      <c r="C93" s="10"/>
      <c r="D93" s="16"/>
      <c r="E93" s="13" t="str">
        <f aca="false">IF($A93="","",Inputs!$B$4-$A93)</f>
        <v/>
      </c>
      <c r="F93" s="14" t="str">
        <f aca="false">IF($A93="","",INDEX('Lag Table'!$C$3:$C$11,MATCH(MIN($E93,8),'Lag Table'!$A$3:$A$11,0)))</f>
        <v/>
      </c>
      <c r="G93" s="17" t="str">
        <f aca="false">IF($A93="","",$C93/$F93)</f>
        <v/>
      </c>
      <c r="H93" s="18" t="str">
        <f aca="false">IF($A93="","",IFERROR($C93/$B93,""))</f>
        <v/>
      </c>
      <c r="I93" s="18" t="str">
        <f aca="false">IF($A93="","",IFERROR($G93/$B93,""))</f>
        <v/>
      </c>
    </row>
    <row r="94" customFormat="false" ht="15" hidden="false" customHeight="false" outlineLevel="0" collapsed="false">
      <c r="A94" s="6"/>
      <c r="B94" s="10"/>
      <c r="C94" s="10"/>
      <c r="D94" s="16"/>
      <c r="E94" s="13" t="str">
        <f aca="false">IF($A94="","",Inputs!$B$4-$A94)</f>
        <v/>
      </c>
      <c r="F94" s="14" t="str">
        <f aca="false">IF($A94="","",INDEX('Lag Table'!$C$3:$C$11,MATCH(MIN($E94,8),'Lag Table'!$A$3:$A$11,0)))</f>
        <v/>
      </c>
      <c r="G94" s="17" t="str">
        <f aca="false">IF($A94="","",$C94/$F94)</f>
        <v/>
      </c>
      <c r="H94" s="18" t="str">
        <f aca="false">IF($A94="","",IFERROR($C94/$B94,""))</f>
        <v/>
      </c>
      <c r="I94" s="18" t="str">
        <f aca="false">IF($A94="","",IFERROR($G94/$B94,""))</f>
        <v/>
      </c>
    </row>
    <row r="95" customFormat="false" ht="15" hidden="false" customHeight="false" outlineLevel="0" collapsed="false">
      <c r="A95" s="6"/>
      <c r="B95" s="10"/>
      <c r="C95" s="10"/>
      <c r="D95" s="16"/>
      <c r="E95" s="13" t="str">
        <f aca="false">IF($A95="","",Inputs!$B$4-$A95)</f>
        <v/>
      </c>
      <c r="F95" s="14" t="str">
        <f aca="false">IF($A95="","",INDEX('Lag Table'!$C$3:$C$11,MATCH(MIN($E95,8),'Lag Table'!$A$3:$A$11,0)))</f>
        <v/>
      </c>
      <c r="G95" s="17" t="str">
        <f aca="false">IF($A95="","",$C95/$F95)</f>
        <v/>
      </c>
      <c r="H95" s="18" t="str">
        <f aca="false">IF($A95="","",IFERROR($C95/$B95,""))</f>
        <v/>
      </c>
      <c r="I95" s="18" t="str">
        <f aca="false">IF($A95="","",IFERROR($G95/$B95,""))</f>
        <v/>
      </c>
    </row>
    <row r="96" customFormat="false" ht="15" hidden="false" customHeight="false" outlineLevel="0" collapsed="false">
      <c r="A96" s="6"/>
      <c r="B96" s="10"/>
      <c r="C96" s="10"/>
      <c r="D96" s="16"/>
      <c r="E96" s="13" t="str">
        <f aca="false">IF($A96="","",Inputs!$B$4-$A96)</f>
        <v/>
      </c>
      <c r="F96" s="14" t="str">
        <f aca="false">IF($A96="","",INDEX('Lag Table'!$C$3:$C$11,MATCH(MIN($E96,8),'Lag Table'!$A$3:$A$11,0)))</f>
        <v/>
      </c>
      <c r="G96" s="17" t="str">
        <f aca="false">IF($A96="","",$C96/$F96)</f>
        <v/>
      </c>
      <c r="H96" s="18" t="str">
        <f aca="false">IF($A96="","",IFERROR($C96/$B96,""))</f>
        <v/>
      </c>
      <c r="I96" s="18" t="str">
        <f aca="false">IF($A96="","",IFERROR($G96/$B96,""))</f>
        <v/>
      </c>
    </row>
    <row r="97" customFormat="false" ht="15" hidden="false" customHeight="false" outlineLevel="0" collapsed="false">
      <c r="A97" s="6"/>
      <c r="B97" s="10"/>
      <c r="C97" s="10"/>
      <c r="D97" s="16"/>
      <c r="E97" s="13" t="str">
        <f aca="false">IF($A97="","",Inputs!$B$4-$A97)</f>
        <v/>
      </c>
      <c r="F97" s="14" t="str">
        <f aca="false">IF($A97="","",INDEX('Lag Table'!$C$3:$C$11,MATCH(MIN($E97,8),'Lag Table'!$A$3:$A$11,0)))</f>
        <v/>
      </c>
      <c r="G97" s="17" t="str">
        <f aca="false">IF($A97="","",$C97/$F97)</f>
        <v/>
      </c>
      <c r="H97" s="18" t="str">
        <f aca="false">IF($A97="","",IFERROR($C97/$B97,""))</f>
        <v/>
      </c>
      <c r="I97" s="18" t="str">
        <f aca="false">IF($A97="","",IFERROR($G97/$B97,""))</f>
        <v/>
      </c>
    </row>
    <row r="98" customFormat="false" ht="15" hidden="false" customHeight="false" outlineLevel="0" collapsed="false">
      <c r="A98" s="6"/>
      <c r="B98" s="10"/>
      <c r="C98" s="10"/>
      <c r="D98" s="16"/>
      <c r="E98" s="13" t="str">
        <f aca="false">IF($A98="","",Inputs!$B$4-$A98)</f>
        <v/>
      </c>
      <c r="F98" s="14" t="str">
        <f aca="false">IF($A98="","",INDEX('Lag Table'!$C$3:$C$11,MATCH(MIN($E98,8),'Lag Table'!$A$3:$A$11,0)))</f>
        <v/>
      </c>
      <c r="G98" s="17" t="str">
        <f aca="false">IF($A98="","",$C98/$F98)</f>
        <v/>
      </c>
      <c r="H98" s="18" t="str">
        <f aca="false">IF($A98="","",IFERROR($C98/$B98,""))</f>
        <v/>
      </c>
      <c r="I98" s="18" t="str">
        <f aca="false">IF($A98="","",IFERROR($G98/$B98,""))</f>
        <v/>
      </c>
    </row>
    <row r="99" customFormat="false" ht="15" hidden="false" customHeight="false" outlineLevel="0" collapsed="false">
      <c r="A99" s="6"/>
      <c r="B99" s="10"/>
      <c r="C99" s="10"/>
      <c r="D99" s="16"/>
      <c r="E99" s="13" t="str">
        <f aca="false">IF($A99="","",Inputs!$B$4-$A99)</f>
        <v/>
      </c>
      <c r="F99" s="14" t="str">
        <f aca="false">IF($A99="","",INDEX('Lag Table'!$C$3:$C$11,MATCH(MIN($E99,8),'Lag Table'!$A$3:$A$11,0)))</f>
        <v/>
      </c>
      <c r="G99" s="17" t="str">
        <f aca="false">IF($A99="","",$C99/$F99)</f>
        <v/>
      </c>
      <c r="H99" s="18" t="str">
        <f aca="false">IF($A99="","",IFERROR($C99/$B99,""))</f>
        <v/>
      </c>
      <c r="I99" s="18" t="str">
        <f aca="false">IF($A99="","",IFERROR($G99/$B99,""))</f>
        <v/>
      </c>
    </row>
    <row r="100" customFormat="false" ht="15" hidden="false" customHeight="false" outlineLevel="0" collapsed="false">
      <c r="A100" s="6"/>
      <c r="B100" s="10"/>
      <c r="C100" s="10"/>
      <c r="D100" s="16"/>
      <c r="E100" s="13" t="str">
        <f aca="false">IF($A100="","",Inputs!$B$4-$A100)</f>
        <v/>
      </c>
      <c r="F100" s="14" t="str">
        <f aca="false">IF($A100="","",INDEX('Lag Table'!$C$3:$C$11,MATCH(MIN($E100,8),'Lag Table'!$A$3:$A$11,0)))</f>
        <v/>
      </c>
      <c r="G100" s="17" t="str">
        <f aca="false">IF($A100="","",$C100/$F100)</f>
        <v/>
      </c>
      <c r="H100" s="18" t="str">
        <f aca="false">IF($A100="","",IFERROR($C100/$B100,""))</f>
        <v/>
      </c>
      <c r="I100" s="18" t="str">
        <f aca="false">IF($A100="","",IFERROR($G100/$B100,""))</f>
        <v/>
      </c>
    </row>
    <row r="101" customFormat="false" ht="15" hidden="false" customHeight="false" outlineLevel="0" collapsed="false">
      <c r="A101" s="6"/>
      <c r="B101" s="10"/>
      <c r="C101" s="10"/>
      <c r="D101" s="16"/>
      <c r="E101" s="13" t="str">
        <f aca="false">IF($A101="","",Inputs!$B$4-$A101)</f>
        <v/>
      </c>
      <c r="F101" s="14" t="str">
        <f aca="false">IF($A101="","",INDEX('Lag Table'!$C$3:$C$11,MATCH(MIN($E101,8),'Lag Table'!$A$3:$A$11,0)))</f>
        <v/>
      </c>
      <c r="G101" s="17" t="str">
        <f aca="false">IF($A101="","",$C101/$F101)</f>
        <v/>
      </c>
      <c r="H101" s="18" t="str">
        <f aca="false">IF($A101="","",IFERROR($C101/$B101,""))</f>
        <v/>
      </c>
      <c r="I101" s="18" t="str">
        <f aca="false">IF($A101="","",IFERROR($G101/$B101,""))</f>
        <v/>
      </c>
    </row>
    <row r="102" customFormat="false" ht="15" hidden="false" customHeight="false" outlineLevel="0" collapsed="false">
      <c r="A102" s="6"/>
      <c r="B102" s="10"/>
      <c r="C102" s="10"/>
      <c r="D102" s="16"/>
      <c r="E102" s="13" t="str">
        <f aca="false">IF($A102="","",Inputs!$B$4-$A102)</f>
        <v/>
      </c>
      <c r="F102" s="14" t="str">
        <f aca="false">IF($A102="","",INDEX('Lag Table'!$C$3:$C$11,MATCH(MIN($E102,8),'Lag Table'!$A$3:$A$11,0)))</f>
        <v/>
      </c>
      <c r="G102" s="17" t="str">
        <f aca="false">IF($A102="","",$C102/$F102)</f>
        <v/>
      </c>
      <c r="H102" s="18" t="str">
        <f aca="false">IF($A102="","",IFERROR($C102/$B102,""))</f>
        <v/>
      </c>
      <c r="I102" s="18" t="str">
        <f aca="false">IF($A102="","",IFERROR($G102/$B102,""))</f>
        <v/>
      </c>
    </row>
    <row r="104" customFormat="false" ht="15" hidden="false" customHeight="false" outlineLevel="0" collapsed="false">
      <c r="A104" s="7" t="s">
        <v>106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6"/>
    <col collapsed="false" customWidth="true" hidden="false" outlineLevel="0" max="4" min="4" style="0" width="14"/>
  </cols>
  <sheetData>
    <row r="1" customFormat="false" ht="21.75" hidden="false" customHeight="true" outlineLevel="0" collapsed="false">
      <c r="A1" s="1" t="s">
        <v>107</v>
      </c>
      <c r="B1" s="1"/>
      <c r="C1" s="1"/>
      <c r="D1" s="1"/>
    </row>
    <row r="2" customFormat="false" ht="15" hidden="false" customHeight="false" outlineLevel="0" collapsed="false">
      <c r="A2" s="19" t="s">
        <v>108</v>
      </c>
      <c r="B2" s="19" t="s">
        <v>98</v>
      </c>
      <c r="C2" s="19" t="s">
        <v>109</v>
      </c>
      <c r="D2" s="19" t="s">
        <v>110</v>
      </c>
    </row>
    <row r="3" customFormat="false" ht="15" hidden="false" customHeight="false" outlineLevel="0" collapsed="false">
      <c r="A3" s="6" t="n">
        <v>46180</v>
      </c>
      <c r="B3" s="10" t="n">
        <v>35738</v>
      </c>
      <c r="C3" s="10" t="n">
        <v>81523</v>
      </c>
      <c r="D3" s="18" t="n">
        <f aca="false">C3/B3</f>
        <v>2.2811293301248</v>
      </c>
    </row>
    <row r="4" customFormat="false" ht="15" hidden="false" customHeight="false" outlineLevel="0" collapsed="false">
      <c r="A4" s="6" t="n">
        <v>46187</v>
      </c>
      <c r="B4" s="10" t="n">
        <v>36104</v>
      </c>
      <c r="C4" s="10" t="n">
        <v>79699</v>
      </c>
      <c r="D4" s="18" t="n">
        <f aca="false">C4/B4</f>
        <v>2.20748393529803</v>
      </c>
    </row>
    <row r="5" customFormat="false" ht="15" hidden="false" customHeight="false" outlineLevel="0" collapsed="false">
      <c r="A5" s="6" t="n">
        <v>46194</v>
      </c>
      <c r="B5" s="10" t="n">
        <v>33128</v>
      </c>
      <c r="C5" s="10" t="n">
        <v>73473</v>
      </c>
      <c r="D5" s="18" t="n">
        <f aca="false">C5/B5</f>
        <v>2.21785196812364</v>
      </c>
    </row>
    <row r="6" customFormat="false" ht="15" hidden="false" customHeight="false" outlineLevel="0" collapsed="false">
      <c r="A6" s="6" t="n">
        <v>46201</v>
      </c>
      <c r="B6" s="10" t="n">
        <v>34071</v>
      </c>
      <c r="C6" s="10" t="n">
        <v>75137</v>
      </c>
      <c r="D6" s="18" t="n">
        <f aca="false">C6/B6</f>
        <v>2.20530656570104</v>
      </c>
    </row>
    <row r="7" customFormat="false" ht="15" hidden="false" customHeight="false" outlineLevel="0" collapsed="false">
      <c r="A7" s="6" t="n">
        <v>46208</v>
      </c>
      <c r="B7" s="10" t="n">
        <v>36772</v>
      </c>
      <c r="C7" s="10" t="n">
        <v>84030</v>
      </c>
      <c r="D7" s="18" t="n">
        <f aca="false">C7/B7</f>
        <v>2.28516262373545</v>
      </c>
    </row>
    <row r="8" customFormat="false" ht="15" hidden="false" customHeight="false" outlineLevel="0" collapsed="false">
      <c r="A8" s="6" t="n">
        <v>46215</v>
      </c>
      <c r="B8" s="10" t="n">
        <v>34259</v>
      </c>
      <c r="C8" s="10" t="n">
        <v>77379</v>
      </c>
      <c r="D8" s="18" t="n">
        <f aca="false">C8/B8</f>
        <v>2.2586473627368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60"/>
  </cols>
  <sheetData>
    <row r="1" customFormat="false" ht="21.75" hidden="false" customHeight="true" outlineLevel="0" collapsed="false">
      <c r="A1" s="1" t="s">
        <v>111</v>
      </c>
      <c r="B1" s="1"/>
      <c r="C1" s="1"/>
    </row>
    <row r="3" customFormat="false" ht="15.75" hidden="false" customHeight="true" outlineLevel="0" collapsed="false">
      <c r="A3" s="4" t="s">
        <v>112</v>
      </c>
      <c r="B3" s="4"/>
      <c r="C3" s="4"/>
      <c r="D3" s="4"/>
      <c r="E3" s="4"/>
      <c r="F3" s="4"/>
    </row>
    <row r="4" customFormat="false" ht="15" hidden="false" customHeight="false" outlineLevel="0" collapsed="false">
      <c r="A4" s="5" t="s">
        <v>113</v>
      </c>
      <c r="B4" s="17" t="n">
        <f aca="false">SUMIFS('Daily Data'!$B$3:$B$102,'Daily Data'!$E$3:$E$102,"&lt;="&amp;(Inputs!$B$38-1))</f>
        <v>14947</v>
      </c>
    </row>
    <row r="5" customFormat="false" ht="15" hidden="false" customHeight="false" outlineLevel="0" collapsed="false">
      <c r="A5" s="5" t="s">
        <v>114</v>
      </c>
      <c r="B5" s="17" t="n">
        <f aca="false">SUMIFS('Daily Data'!$G$3:$G$102,'Daily Data'!$E$3:$E$102,"&lt;="&amp;(Inputs!$B$38-1))</f>
        <v>29937.2650355834</v>
      </c>
    </row>
    <row r="6" customFormat="false" ht="15" hidden="false" customHeight="false" outlineLevel="0" collapsed="false">
      <c r="A6" s="5" t="s">
        <v>115</v>
      </c>
      <c r="B6" s="20" t="n">
        <f aca="false">SUMIFS('Daily Data'!$D$3:$D$102,'Daily Data'!$E$3:$E$102,"&lt;="&amp;(Inputs!$B$38-1))</f>
        <v>197</v>
      </c>
    </row>
    <row r="7" customFormat="false" ht="15" hidden="false" customHeight="false" outlineLevel="0" collapsed="false">
      <c r="A7" s="5" t="s">
        <v>116</v>
      </c>
      <c r="B7" s="18" t="n">
        <f aca="false">IFERROR(B5/B4,0)</f>
        <v>2.00289456316207</v>
      </c>
      <c r="C7" s="7" t="s">
        <v>117</v>
      </c>
    </row>
    <row r="9" customFormat="false" ht="15" hidden="false" customHeight="false" outlineLevel="0" collapsed="false">
      <c r="A9" s="5" t="s">
        <v>118</v>
      </c>
      <c r="B9" s="17" t="n">
        <f aca="false">SUMIFS('Daily Data'!$B$3:$B$102,'Daily Data'!$E$3:$E$102,"&lt;="&amp;(Inputs!$B$36-1))</f>
        <v>69634</v>
      </c>
    </row>
    <row r="10" customFormat="false" ht="15" hidden="false" customHeight="false" outlineLevel="0" collapsed="false">
      <c r="A10" s="5" t="s">
        <v>119</v>
      </c>
      <c r="B10" s="17" t="n">
        <f aca="false">SUMIFS('Daily Data'!$G$3:$G$102,'Daily Data'!$E$3:$E$102,"&lt;="&amp;(Inputs!$B$36-1))</f>
        <v>150398.698111151</v>
      </c>
    </row>
    <row r="11" customFormat="false" ht="15" hidden="false" customHeight="false" outlineLevel="0" collapsed="false">
      <c r="A11" s="5" t="s">
        <v>120</v>
      </c>
      <c r="B11" s="20" t="n">
        <f aca="false">SUMIFS('Daily Data'!$D$3:$D$102,'Daily Data'!$E$3:$E$102,"&lt;="&amp;(Inputs!$B$36-1))</f>
        <v>1419</v>
      </c>
    </row>
    <row r="12" customFormat="false" ht="15" hidden="false" customHeight="false" outlineLevel="0" collapsed="false">
      <c r="A12" s="5" t="s">
        <v>121</v>
      </c>
      <c r="B12" s="18" t="n">
        <f aca="false">IFERROR(B10/B9,0)</f>
        <v>2.15984573787448</v>
      </c>
    </row>
    <row r="14" customFormat="false" ht="15" hidden="false" customHeight="false" outlineLevel="0" collapsed="false">
      <c r="A14" s="5" t="s">
        <v>122</v>
      </c>
      <c r="B14" s="17" t="n">
        <f aca="false">SUMIFS('Daily Data'!$B$3:$B$102,'Daily Data'!$E$3:$E$102,"&lt;="&amp;(Inputs!$B$37-1))</f>
        <v>103429</v>
      </c>
    </row>
    <row r="15" customFormat="false" ht="15" hidden="false" customHeight="false" outlineLevel="0" collapsed="false">
      <c r="A15" s="5" t="s">
        <v>123</v>
      </c>
      <c r="B15" s="17" t="n">
        <f aca="false">SUMIFS('Daily Data'!$G$3:$G$102,'Daily Data'!$E$3:$E$102,"&lt;="&amp;(Inputs!$B$37-1))</f>
        <v>226358.508111151</v>
      </c>
    </row>
    <row r="16" customFormat="false" ht="15" hidden="false" customHeight="false" outlineLevel="0" collapsed="false">
      <c r="A16" s="5" t="s">
        <v>124</v>
      </c>
      <c r="B16" s="20" t="n">
        <f aca="false">SUMIFS('Daily Data'!$D$3:$D$102,'Daily Data'!$E$3:$E$102,"&lt;="&amp;(Inputs!$B$37-1))</f>
        <v>2313</v>
      </c>
    </row>
    <row r="17" customFormat="false" ht="15" hidden="false" customHeight="false" outlineLevel="0" collapsed="false">
      <c r="A17" s="5" t="s">
        <v>125</v>
      </c>
      <c r="B17" s="18" t="n">
        <f aca="false">IFERROR(B15/B14,0)</f>
        <v>2.18854004303581</v>
      </c>
    </row>
    <row r="19" customFormat="false" ht="15" hidden="false" customHeight="false" outlineLevel="0" collapsed="false">
      <c r="A19" s="5" t="s">
        <v>126</v>
      </c>
      <c r="B19" s="13" t="str">
        <f aca="false">IF(B11&gt;=Inputs!$B$26,"Primary (14d)",IF(B16&gt;=Inputs!$B$26,"Fallback (30d)","Insufficient"))</f>
        <v>Primary (14d)</v>
      </c>
      <c r="C19" s="7" t="s">
        <v>127</v>
      </c>
    </row>
    <row r="20" customFormat="false" ht="15" hidden="false" customHeight="false" outlineLevel="0" collapsed="false">
      <c r="A20" s="5" t="s">
        <v>128</v>
      </c>
      <c r="B20" s="18" t="n">
        <f aca="false">IF(B19="Primary (14d)",B12,IF(B19="Fallback (30d)",B17,0))</f>
        <v>2.15984573787448</v>
      </c>
    </row>
    <row r="21" customFormat="false" ht="15" hidden="false" customHeight="false" outlineLevel="0" collapsed="false">
      <c r="A21" s="5" t="s">
        <v>129</v>
      </c>
      <c r="B21" s="20" t="n">
        <f aca="false">IF(B19="Primary (14d)",B11,IF(B19="Fallback (30d)",B16,B11))</f>
        <v>1419</v>
      </c>
    </row>
    <row r="23" customFormat="false" ht="15.75" hidden="false" customHeight="true" outlineLevel="0" collapsed="false">
      <c r="A23" s="4" t="s">
        <v>130</v>
      </c>
      <c r="B23" s="4"/>
      <c r="C23" s="4"/>
      <c r="D23" s="4"/>
      <c r="E23" s="4"/>
      <c r="F23" s="4"/>
    </row>
    <row r="24" customFormat="false" ht="15" hidden="false" customHeight="false" outlineLevel="0" collapsed="false">
      <c r="A24" s="5" t="s">
        <v>131</v>
      </c>
      <c r="B24" s="20" t="n">
        <f aca="false">Inputs!$B$4-Inputs!$B$8</f>
        <v>19</v>
      </c>
    </row>
    <row r="25" customFormat="false" ht="15" hidden="false" customHeight="false" outlineLevel="0" collapsed="false">
      <c r="A25" s="5" t="s">
        <v>132</v>
      </c>
      <c r="B25" s="20" t="n">
        <f aca="false">SUMIFS('Daily Data'!$D$3:$D$102,'Daily Data'!$A$3:$A$102,"&gt;"&amp;Inputs!$B$8)</f>
        <v>2054</v>
      </c>
    </row>
    <row r="26" customFormat="false" ht="15" hidden="false" customHeight="false" outlineLevel="0" collapsed="false">
      <c r="A26" s="5" t="s">
        <v>133</v>
      </c>
      <c r="B26" s="21" t="b">
        <f aca="false">OR(NOT(OR(Inputs!$B$9="Target ROAS Change",Inputs!$B$9="Budget Change")),AND(B24&gt;=Inputs!$B$29,B25&gt;=Inputs!$B$30))</f>
        <v>1</v>
      </c>
      <c r="C26" s="7" t="s">
        <v>134</v>
      </c>
    </row>
    <row r="27" customFormat="false" ht="15" hidden="false" customHeight="false" outlineLevel="0" collapsed="false">
      <c r="A27" s="5" t="s">
        <v>135</v>
      </c>
      <c r="B27" s="21" t="b">
        <f aca="false">(Inputs!$B$5="Paused")</f>
        <v>0</v>
      </c>
    </row>
    <row r="28" customFormat="false" ht="15" hidden="false" customHeight="false" outlineLevel="0" collapsed="false">
      <c r="A28" s="5" t="s">
        <v>136</v>
      </c>
      <c r="B28" s="20" t="n">
        <f aca="false">IF(B27,Inputs!$B$4-Inputs!$B$8,0)</f>
        <v>0</v>
      </c>
    </row>
    <row r="29" customFormat="false" ht="15" hidden="false" customHeight="false" outlineLevel="0" collapsed="false">
      <c r="A29" s="5" t="s">
        <v>137</v>
      </c>
      <c r="B29" s="21" t="b">
        <f aca="false">(B28&gt;=Inputs!$B$31)</f>
        <v>0</v>
      </c>
    </row>
    <row r="30" customFormat="false" ht="15" hidden="false" customHeight="false" outlineLevel="0" collapsed="false">
      <c r="A30" s="5" t="s">
        <v>138</v>
      </c>
      <c r="B30" s="21" t="b">
        <f aca="false">AND(B7&lt;(Inputs!$B$21*Inputs!$B$28),B6&gt;=Inputs!$B$27)</f>
        <v>0</v>
      </c>
    </row>
    <row r="31" customFormat="false" ht="15" hidden="false" customHeight="false" outlineLevel="0" collapsed="false">
      <c r="A31" s="5" t="s">
        <v>139</v>
      </c>
      <c r="B31" s="21" t="b">
        <f aca="false">AND(NOT(B27),B30)</f>
        <v>0</v>
      </c>
    </row>
    <row r="33" customFormat="false" ht="15.75" hidden="false" customHeight="true" outlineLevel="0" collapsed="false">
      <c r="A33" s="4" t="s">
        <v>140</v>
      </c>
      <c r="B33" s="4"/>
      <c r="C33" s="4"/>
      <c r="D33" s="4"/>
      <c r="E33" s="4"/>
      <c r="F33" s="4"/>
    </row>
    <row r="34" customFormat="false" ht="15" hidden="false" customHeight="false" outlineLevel="0" collapsed="false">
      <c r="A34" s="5" t="s">
        <v>141</v>
      </c>
      <c r="B34" s="22" t="n">
        <f aca="false">Inputs!$B$14+Inputs!$B$15-1</f>
        <v>46385</v>
      </c>
    </row>
    <row r="35" customFormat="false" ht="15" hidden="false" customHeight="false" outlineLevel="0" collapsed="false">
      <c r="A35" s="5" t="s">
        <v>142</v>
      </c>
      <c r="B35" s="21" t="b">
        <f aca="false">AND(Inputs!$B$12="Y",Inputs!$B$4&gt;=Inputs!$B$14,Inputs!$B$4&lt;=B34)</f>
        <v>0</v>
      </c>
    </row>
    <row r="36" customFormat="false" ht="15" hidden="false" customHeight="false" outlineLevel="0" collapsed="false">
      <c r="A36" s="5" t="s">
        <v>143</v>
      </c>
      <c r="B36" s="21" t="b">
        <f aca="false">(Inputs!$B$4=Inputs!$B$14)</f>
        <v>0</v>
      </c>
    </row>
    <row r="37" customFormat="false" ht="15" hidden="false" customHeight="false" outlineLevel="0" collapsed="false">
      <c r="A37" s="5" t="s">
        <v>144</v>
      </c>
      <c r="B37" s="21" t="b">
        <f aca="false">(Inputs!$B$4=B34)</f>
        <v>0</v>
      </c>
    </row>
    <row r="39" customFormat="false" ht="15.75" hidden="false" customHeight="true" outlineLevel="0" collapsed="false">
      <c r="A39" s="4" t="s">
        <v>145</v>
      </c>
      <c r="B39" s="4"/>
      <c r="C39" s="4"/>
      <c r="D39" s="4"/>
      <c r="E39" s="4"/>
      <c r="F39" s="4"/>
    </row>
    <row r="40" customFormat="false" ht="15" hidden="false" customHeight="false" outlineLevel="0" collapsed="false">
      <c r="A40" s="5" t="s">
        <v>146</v>
      </c>
      <c r="B40" s="20" t="n">
        <f aca="false">SUMPRODUCT(('Daily Data'!$E$3:$E$102&lt;&gt;"")*('Daily Data'!$E$3:$E$102&lt;=6)*('Daily Data'!$B$3:$B$102&gt;=Inputs!$B$7*Inputs!$B$32))</f>
        <v>0</v>
      </c>
    </row>
    <row r="41" customFormat="false" ht="15" hidden="false" customHeight="false" outlineLevel="0" collapsed="false">
      <c r="A41" s="5" t="s">
        <v>147</v>
      </c>
      <c r="B41" s="21" t="b">
        <f aca="false">(B40&gt;=Inputs!$B$33)</f>
        <v>0</v>
      </c>
    </row>
    <row r="43" customFormat="false" ht="15.75" hidden="false" customHeight="true" outlineLevel="0" collapsed="false">
      <c r="A43" s="4" t="s">
        <v>148</v>
      </c>
      <c r="B43" s="4"/>
      <c r="C43" s="4"/>
      <c r="D43" s="4"/>
      <c r="E43" s="4"/>
      <c r="F43" s="4"/>
    </row>
    <row r="44" customFormat="false" ht="15" hidden="false" customHeight="false" outlineLevel="0" collapsed="false">
      <c r="A44" s="5" t="s">
        <v>149</v>
      </c>
      <c r="B44" s="18" t="n">
        <f aca="false">Inputs!$B$20-Inputs!$B$34</f>
        <v>2.1</v>
      </c>
    </row>
    <row r="45" customFormat="false" ht="15" hidden="false" customHeight="false" outlineLevel="0" collapsed="false">
      <c r="A45" s="5" t="s">
        <v>150</v>
      </c>
      <c r="B45" s="18" t="n">
        <f aca="false">Inputs!$B$20+Inputs!$B$35</f>
        <v>2.35</v>
      </c>
    </row>
    <row r="47" customFormat="false" ht="15.75" hidden="false" customHeight="true" outlineLevel="0" collapsed="false">
      <c r="A47" s="4" t="s">
        <v>151</v>
      </c>
      <c r="B47" s="4"/>
      <c r="C47" s="4"/>
      <c r="D47" s="4"/>
      <c r="E47" s="4"/>
      <c r="F47" s="4"/>
    </row>
    <row r="48" customFormat="false" ht="15" hidden="false" customHeight="false" outlineLevel="0" collapsed="false">
      <c r="A48" s="5" t="s">
        <v>152</v>
      </c>
      <c r="B48" s="13" t="str">
        <f aca="false">_xlfn.IFS(B31,"SAFETY_PAUSE",B27,IF(B29,"PAUSED_REENABLE","PAUSED_HOLD"),AND(B35,B36),"SEASON_START",AND(B35,B37),"SEASON_END",AND(B35,NOT(B36),NOT(B37)),"SEASON_MID",NOT(B26),"WAIT_HOLD",B19="Insufficient","DATA_INSUFFICIENT",B20&lt;Inputs!$B$21,"SEVERE_PAUSE",B20&lt;B44,"TIGHTEN",B20&lt;=B45,"NORMAL",AND(B20&gt;B45,B41),"BUDGET_INCREASE",TRUE(),"LOOSEN")</f>
        <v>NORMAL</v>
      </c>
      <c r="C48" s="7" t="s">
        <v>153</v>
      </c>
    </row>
  </sheetData>
  <mergeCells count="7">
    <mergeCell ref="A1:C1"/>
    <mergeCell ref="A3:F3"/>
    <mergeCell ref="A23:F23"/>
    <mergeCell ref="A33:F33"/>
    <mergeCell ref="A39:F39"/>
    <mergeCell ref="A43:F43"/>
    <mergeCell ref="A47:F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46"/>
    <col collapsed="false" customWidth="true" hidden="false" outlineLevel="0" max="10" min="3" style="0" width="11"/>
  </cols>
  <sheetData>
    <row r="1" customFormat="false" ht="21.75" hidden="false" customHeight="true" outlineLevel="0" collapsed="false">
      <c r="A1" s="1" t="s">
        <v>154</v>
      </c>
      <c r="B1" s="1"/>
    </row>
    <row r="3" customFormat="false" ht="15.75" hidden="false" customHeight="true" outlineLevel="0" collapsed="false">
      <c r="A3" s="4" t="s">
        <v>155</v>
      </c>
      <c r="B3" s="4"/>
    </row>
    <row r="4" customFormat="false" ht="15" hidden="false" customHeight="false" outlineLevel="0" collapsed="false">
      <c r="A4" s="5" t="s">
        <v>22</v>
      </c>
      <c r="B4" s="22" t="n">
        <f aca="false">Inputs!$B$4</f>
        <v>46242</v>
      </c>
    </row>
    <row r="5" customFormat="false" ht="15" hidden="false" customHeight="false" outlineLevel="0" collapsed="false">
      <c r="A5" s="5" t="s">
        <v>24</v>
      </c>
      <c r="B5" s="13" t="str">
        <f aca="false">Inputs!$B$5</f>
        <v>Active</v>
      </c>
    </row>
    <row r="6" customFormat="false" ht="15" hidden="false" customHeight="false" outlineLevel="0" collapsed="false">
      <c r="A6" s="5" t="s">
        <v>126</v>
      </c>
      <c r="B6" s="13" t="str">
        <f aca="false">Engine!$B$19</f>
        <v>Primary (14d)</v>
      </c>
    </row>
    <row r="7" customFormat="false" ht="15" hidden="false" customHeight="false" outlineLevel="0" collapsed="false">
      <c r="A7" s="5" t="s">
        <v>156</v>
      </c>
      <c r="B7" s="18" t="n">
        <f aca="false">Engine!$B$20</f>
        <v>2.15984573787448</v>
      </c>
    </row>
    <row r="8" customFormat="false" ht="15" hidden="false" customHeight="false" outlineLevel="0" collapsed="false">
      <c r="A8" s="5" t="s">
        <v>157</v>
      </c>
      <c r="B8" s="18" t="n">
        <f aca="false">Engine!$B$7</f>
        <v>2.00289456316207</v>
      </c>
    </row>
    <row r="9" customFormat="false" ht="15" hidden="false" customHeight="false" outlineLevel="0" collapsed="false">
      <c r="A9" s="5" t="s">
        <v>158</v>
      </c>
      <c r="B9" s="20" t="n">
        <f aca="false">Engine!$B$21</f>
        <v>1419</v>
      </c>
    </row>
    <row r="10" customFormat="false" ht="15" hidden="false" customHeight="false" outlineLevel="0" collapsed="false">
      <c r="A10" s="5" t="s">
        <v>159</v>
      </c>
      <c r="B10" s="13" t="str">
        <f aca="false">TEXT(Inputs!$B$20,"0%")&amp;" / "&amp;TEXT(Inputs!$B$21,"0.0%")</f>
        <v>220% / 200.1%</v>
      </c>
    </row>
    <row r="11" customFormat="false" ht="15" hidden="false" customHeight="false" outlineLevel="0" collapsed="false">
      <c r="A11" s="5" t="s">
        <v>160</v>
      </c>
      <c r="B11" s="13" t="str">
        <f aca="false">TEXT(Engine!$B$44,"0%")&amp;" - "&amp;TEXT(Engine!$B$45,"0%")</f>
        <v>210% - 235%</v>
      </c>
    </row>
    <row r="12" customFormat="false" ht="15" hidden="false" customHeight="false" outlineLevel="0" collapsed="false">
      <c r="A12" s="5" t="s">
        <v>161</v>
      </c>
      <c r="B12" s="21" t="b">
        <f aca="false">Engine!$B$31</f>
        <v>0</v>
      </c>
    </row>
    <row r="13" customFormat="false" ht="15" hidden="false" customHeight="false" outlineLevel="0" collapsed="false">
      <c r="A13" s="5" t="s">
        <v>142</v>
      </c>
      <c r="B13" s="21" t="b">
        <f aca="false">Engine!$B$35</f>
        <v>0</v>
      </c>
    </row>
    <row r="14" customFormat="false" ht="15" hidden="false" customHeight="false" outlineLevel="0" collapsed="false">
      <c r="A14" s="5" t="s">
        <v>162</v>
      </c>
      <c r="B14" s="21" t="b">
        <f aca="false">Engine!$B$26</f>
        <v>1</v>
      </c>
    </row>
    <row r="15" customFormat="false" ht="15" hidden="false" customHeight="false" outlineLevel="0" collapsed="false">
      <c r="A15" s="5" t="s">
        <v>163</v>
      </c>
      <c r="B15" s="21" t="b">
        <f aca="false">Engine!$B$41</f>
        <v>0</v>
      </c>
    </row>
    <row r="17" customFormat="false" ht="15.75" hidden="false" customHeight="true" outlineLevel="0" collapsed="false">
      <c r="A17" s="4" t="s">
        <v>164</v>
      </c>
      <c r="B17" s="4"/>
    </row>
    <row r="18" customFormat="false" ht="19.5" hidden="false" customHeight="true" outlineLevel="0" collapsed="false">
      <c r="A18" s="23" t="s">
        <v>165</v>
      </c>
      <c r="B18" s="24" t="str">
        <f aca="false">_xlfn.IFS(Engine!$B$48="SAFETY_PAUSE","Pause the campaign",Engine!$B$48="PAUSED_HOLD","No action — remain paused",Engine!$B$48="PAUSED_REENABLE","Re-enable the campaign",Engine!$B$48="SEASON_START","Apply seasonality adjustment",Engine!$B$48="SEASON_MID","No action — seasonality adjustment in effect",Engine!$B$48="SEASON_END","Revert seasonality adjustment",Engine!$B$48="WAIT_HOLD","No action — wait",Engine!$B$48="DATA_INSUFFICIENT","No action — insufficient data",Engine!$B$48="SEVERE_PAUSE","Pause the campaign",Engine!$B$48="TIGHTEN","Increase Target ROAS",Engine!$B$48="NORMAL","No action",Engine!$B$48="BUDGET_INCREASE","Increase Budget",Engine!$B$48="LOOSEN","Decrease Target ROAS")</f>
        <v>No action</v>
      </c>
    </row>
    <row r="19" customFormat="false" ht="16.15" hidden="false" customHeight="false" outlineLevel="0" collapsed="false">
      <c r="A19" s="23" t="s">
        <v>166</v>
      </c>
      <c r="B19" s="24" t="str">
        <f aca="false">_xlfn.IFS(Engine!$B$48="SAFETY_PAUSE","Campaign status -&gt; Paused",Engine!$B$48="PAUSED_HOLD","No change (remain paused)",Engine!$B$48="PAUSED_REENABLE","Target ROAS -&gt; "&amp;TEXT(Inputs!$B$6+Inputs!$B$24,"0%")&amp;", Budget -&gt; $"&amp;TEXT(Inputs!$B$7*0.5,"#,##0")&amp;"/day (ramp-up)",Engine!$B$48="SEASON_START","Target ROAS -&gt; "&amp;TEXT(IF(Inputs!$B$13="Up",Inputs!$B$6-Inputs!$B$16,Inputs!$B$6+Inputs!$B$16),"0%")&amp;" for "&amp;Inputs!$B$15&amp;" days",Engine!$B$48="SEASON_MID","No change",Engine!$B$48="SEASON_END","Target ROAS -&gt; "&amp;TEXT(Inputs!$B$17,"0%")&amp;" (reverting to baseline)",Engine!$B$48="WAIT_HOLD","No change",Engine!$B$48="DATA_INSUFFICIENT","No change",Engine!$B$48="SEVERE_PAUSE","Campaign status -&gt; Paused",Engine!$B$48="TIGHTEN","Target ROAS -&gt; "&amp;TEXT(MIN(Inputs!$B$6+Inputs!$B$24,Inputs!$B$23),"0%"),Engine!$B$48="NORMAL","No change",Engine!$B$48="BUDGET_INCREASE","Budget -&gt; $"&amp;TEXT(Inputs!$B$7*(1+Inputs!$B$25),"#,##0")&amp;"/day",Engine!$B$48="LOOSEN","Target ROAS -&gt; "&amp;TEXT(MAX(Inputs!$B$6-Inputs!$B$24,Inputs!$B$22),"0%"))</f>
        <v>No change</v>
      </c>
    </row>
    <row r="20" customFormat="false" ht="45" hidden="false" customHeight="true" outlineLevel="0" collapsed="false">
      <c r="A20" s="23" t="s">
        <v>167</v>
      </c>
      <c r="B20" s="25" t="str">
        <f aca="false">_xlfn.IFS(Engine!$B$48="SAFETY_PAUSE","Last 3 days are tracking well below breakeven even after adjusting for conversion lag. Pausing now to stop losses while the issue is investigated.",Engine!$B$48="PAUSED_HOLD","Campaign is paused and the minimum pause period has not yet elapsed.",Engine!$B$48="PAUSED_REENABLE","Minimum pause period has elapsed. Restarting conservatively to confirm the issue is resolved.",Engine!$B$48="SEASON_START","A known seasonality event is starting. Adjusting the target ahead of time rather than reacting to the expected swing.",Engine!$B$48="SEASON_MID","Seasonality adjustment is active. Current swings are expected and are not a signal to act on.",Engine!$B$48="SEASON_END","Seasonality event has ended. Reverting to the standard target.",Engine!$B$48="WAIT_HOLD","A change was made recently. The algorithm needs more time and order volume to relearn before it can be judged.",Engine!$B$48="DATA_INSUFFICIENT","Not enough matured orders yet to reliably tell signal from normal noise.",Engine!$B$48="SEVERE_PAUSE","Even the more reliable matured window is below breakeven. This is a confirmed, sustained problem, not noise.",Engine!$B$48="TIGHTEN","Matured, lag-adjusted ROAS is running below the normal range around target. Tightening to protect margin.",Engine!$B$48="NORMAL","Matured, lag-adjusted ROAS is within the normal range around target. This is ordinary volatility.",Engine!$B$48="BUDGET_INCREASE","Efficiency is comfortably above target and spend is capped by budget. Raising the ceiling to capture more profitable volume.",Engine!$B$48="LOOSEN","Efficiency is comfortably above target with budget headroom. Loosening the target to responsibly spend more toward the goal of maximizing volume.")</f>
        <v>Matured, lag-adjusted ROAS is within the normal range around target. This is ordinary volatility.</v>
      </c>
    </row>
    <row r="21" customFormat="false" ht="15" hidden="false" customHeight="false" outlineLevel="0" collapsed="false">
      <c r="A21" s="23" t="s">
        <v>168</v>
      </c>
      <c r="B21" s="26" t="str">
        <f aca="false">_xlfn.IFS(Engine!$B$48="SAFETY_PAUSE","Tomorrow (daily while paused)",Engine!$B$48="PAUSED_HOLD","Tomorrow",Engine!$B$48="PAUSED_REENABLE","Tomorrow (daily during ramp-up)",Engine!$B$48="SEASON_START","Tomorrow (safety check only during season)",Engine!$B$48="SEASON_MID","Tomorrow (safety check only)",Engine!$B$48="SEASON_END","In 7 days or after 30 new orders, whichever is later",Engine!$B$48="WAIT_HOLD","In "&amp;MAX(0,Inputs!$B$29-Engine!$B$24)&amp;" more day(s), or after "&amp;MAX(0,Inputs!$B$30-Engine!$B$25)&amp;" more order(s) — whichever is later",Engine!$B$48="DATA_INSUFFICIENT","After "&amp;MAX(0,Inputs!$B$26-Engine!$B$21)&amp;" more matured order(s) accumulate",Engine!$B$48="SEVERE_PAUSE","Tomorrow (daily while paused)",Engine!$B$48="TIGHTEN","In 7 days or after 30 new orders, whichever is later",Engine!$B$48="NORMAL","Tomorrow",Engine!$B$48="BUDGET_INCREASE","In 7 days or after 30 new orders, whichever is later",Engine!$B$48="LOOSEN","In 7 days or after 30 new orders, whichever is later")</f>
        <v>Tomorrow</v>
      </c>
    </row>
    <row r="22" customFormat="false" ht="15" hidden="false" customHeight="false" outlineLevel="0" collapsed="false">
      <c r="A22" s="23" t="s">
        <v>169</v>
      </c>
      <c r="B22" s="25" t="str">
        <f aca="false">_xlfn.IFS(Engine!$B$48="SAFETY_PAUSE","Minimum 3 days paused before re-enable is eligible",Engine!$B$48="PAUSED_HOLD","N/A — no new change made",Engine!$B$48="PAUSED_REENABLE","7 days matured AND 30 new orders before the next Target ROAS/Budget change",Engine!$B$48="SEASON_START","No manual wait — reverts automatically at the scheduled end date",Engine!$B$48="SEASON_MID","N/A — no new change made",Engine!$B$48="SEASON_END","7 days matured AND 30 new orders before the next Target ROAS/Budget change",Engine!$B$48="WAIT_HOLD","N/A — already inside the wait period from the prior change",Engine!$B$48="DATA_INSUFFICIENT","N/A — no new change made",Engine!$B$48="SEVERE_PAUSE","Minimum 3 days paused before re-enable is eligible",Engine!$B$48="TIGHTEN","7 days matured AND 30 new orders before the next change",Engine!$B$48="NORMAL","N/A — no new change made",Engine!$B$48="BUDGET_INCREASE","7 days matured AND 30 new orders before the next change",Engine!$B$48="LOOSEN","7 days matured AND 30 new orders before the next change")</f>
        <v>N/A — no new change made</v>
      </c>
    </row>
    <row r="24" customFormat="false" ht="15.75" hidden="false" customHeight="true" outlineLevel="0" collapsed="false">
      <c r="A24" s="4" t="s">
        <v>170</v>
      </c>
      <c r="B24" s="4"/>
    </row>
  </sheetData>
  <mergeCells count="4">
    <mergeCell ref="A1:B1"/>
    <mergeCell ref="A3:B3"/>
    <mergeCell ref="A17:B17"/>
    <mergeCell ref="A24:B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2026-09-08T19:18:50Z</dcterms:created>
  <dc:creator>openpyxl</dc:creator>
  <dc:description/>
  <dc:language>en-US</dc:language>
  <cp:lastModifiedBy/>
  <dcterms:modified xsi:type="dcterms:W3CDTF">2026-09-08T19:18:52Z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